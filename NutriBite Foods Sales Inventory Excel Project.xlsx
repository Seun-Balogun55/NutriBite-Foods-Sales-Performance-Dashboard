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ANALYTICS CLASS\Excel Project 2\"/>
    </mc:Choice>
  </mc:AlternateContent>
  <xr:revisionPtr revIDLastSave="0" documentId="13_ncr:1_{840EE24D-627A-4F28-A325-FF9C4945AF37}" xr6:coauthVersionLast="47" xr6:coauthVersionMax="47" xr10:uidLastSave="{00000000-0000-0000-0000-000000000000}"/>
  <bookViews>
    <workbookView xWindow="-110" yWindow="-110" windowWidth="19420" windowHeight="10420" xr2:uid="{F72B075B-AFA0-4CF4-8EF9-B10A81FACBF0}"/>
  </bookViews>
  <sheets>
    <sheet name="Original Sales dataset" sheetId="7" r:id="rId1"/>
    <sheet name="Analysed Salesinventory dataset" sheetId="1" r:id="rId2"/>
    <sheet name="region" sheetId="6" r:id="rId3"/>
    <sheet name="state" sheetId="2" r:id="rId4"/>
    <sheet name="product_category" sheetId="4" r:id="rId5"/>
    <sheet name="product" sheetId="3" r:id="rId6"/>
    <sheet name="date" sheetId="5" r:id="rId7"/>
  </sheets>
  <definedNames>
    <definedName name="_xlcn.WorksheetConnection_SeunSalesInventoryExcelProject.xlsxTable71" hidden="1">Table7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7" name="Table7" connection="WorksheetConnection_Seun (Sales Inventory Excel Project).xlsx!Table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 a="1"/>
  <c r="D3" i="5" s="1"/>
  <c r="D4" i="5" a="1"/>
  <c r="D4" i="5" s="1"/>
  <c r="D5" i="5" a="1"/>
  <c r="D5" i="5" s="1"/>
  <c r="D6" i="5" a="1"/>
  <c r="D6" i="5" s="1"/>
  <c r="D7" i="5" a="1"/>
  <c r="D7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D25" i="5" a="1"/>
  <c r="D25" i="5" s="1"/>
  <c r="D2" i="5" a="1"/>
  <c r="D2" i="5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4C2B1-41B8-41A8-844A-08B4FE5759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331291B-5A6F-4148-95C7-C31AC1339047}" name="WorksheetConnection_Seun (Sales Inventory Excel Project)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SeunSalesInventoryExcelProject.xlsxTable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<sst xmlns="http://schemas.openxmlformats.org/spreadsheetml/2006/main" count="2754" uniqueCount="311">
  <si>
    <t>ID</t>
  </si>
  <si>
    <t>State</t>
  </si>
  <si>
    <t>Product_Category</t>
  </si>
  <si>
    <t>Product</t>
  </si>
  <si>
    <t>Quantity</t>
  </si>
  <si>
    <t>Unit_Price</t>
  </si>
  <si>
    <t>ID07351</t>
  </si>
  <si>
    <t>Boston</t>
  </si>
  <si>
    <t>Bars</t>
  </si>
  <si>
    <t>Carrot</t>
  </si>
  <si>
    <t>ID07352</t>
  </si>
  <si>
    <t>Crackers</t>
  </si>
  <si>
    <t>Whole Wheat</t>
  </si>
  <si>
    <t>ID07353</t>
  </si>
  <si>
    <t>Los Angeles</t>
  </si>
  <si>
    <t>Cookies</t>
  </si>
  <si>
    <t>Chocolate Chip</t>
  </si>
  <si>
    <t>ID07354</t>
  </si>
  <si>
    <t>New York</t>
  </si>
  <si>
    <t>ID07355</t>
  </si>
  <si>
    <t>Arrowroot</t>
  </si>
  <si>
    <t>ID07356</t>
  </si>
  <si>
    <t>ID07357</t>
  </si>
  <si>
    <t>ID07358</t>
  </si>
  <si>
    <t>ID07359</t>
  </si>
  <si>
    <t>ID07360</t>
  </si>
  <si>
    <t>Snacks</t>
  </si>
  <si>
    <t>Potato Chips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</si>
  <si>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</si>
  <si>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</si>
  <si>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</si>
  <si>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</si>
  <si>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</si>
  <si>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</si>
  <si>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</si>
  <si>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</si>
  <si>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Oatmeal Raisin</t>
  </si>
  <si>
    <t>ID07369</t>
  </si>
  <si>
    <t>Bran</t>
  </si>
  <si>
    <t>ID07370</t>
  </si>
  <si>
    <t>ID07371</t>
  </si>
  <si>
    <t>ID07372</t>
  </si>
  <si>
    <t>San Diego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</si>
  <si>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</si>
  <si>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</si>
  <si>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</si>
  <si>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</si>
  <si>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</si>
  <si>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</si>
  <si>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</si>
  <si>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</si>
  <si>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</si>
  <si>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</si>
  <si>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</si>
  <si>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</si>
  <si>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</si>
  <si>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</si>
  <si>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</si>
  <si>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</si>
  <si>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</si>
  <si>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</si>
  <si>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</si>
  <si>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</si>
  <si>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</si>
  <si>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</si>
  <si>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</si>
  <si>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</si>
  <si>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</si>
  <si>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</si>
  <si>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</si>
  <si>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</si>
  <si>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</si>
  <si>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</si>
  <si>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</si>
  <si>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</si>
  <si>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</si>
  <si>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</si>
  <si>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</si>
  <si>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</si>
  <si>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</si>
  <si>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</si>
  <si>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</si>
  <si>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</si>
  <si>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</si>
  <si>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</si>
  <si>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</si>
  <si>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</si>
  <si>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</si>
  <si>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</si>
  <si>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</si>
  <si>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</si>
  <si>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</si>
  <si>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</si>
  <si>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</si>
  <si>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</si>
  <si>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</si>
  <si>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</si>
  <si>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</si>
  <si>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</si>
  <si>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</si>
  <si>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</si>
  <si>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</si>
  <si>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</si>
  <si>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</si>
  <si>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</si>
  <si>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</si>
  <si>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</si>
  <si>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Pretzels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</si>
  <si>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</si>
  <si>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</si>
  <si>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</si>
  <si>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</si>
  <si>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</si>
  <si>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</si>
  <si>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</si>
  <si>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</si>
  <si>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</si>
  <si>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</si>
  <si>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</si>
  <si>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</si>
  <si>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</si>
  <si>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</si>
  <si>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</si>
  <si>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</si>
  <si>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</si>
  <si>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</si>
  <si>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</si>
  <si>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</si>
  <si>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</si>
  <si>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</si>
  <si>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</si>
  <si>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</si>
  <si>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</si>
  <si>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</si>
  <si>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</si>
  <si>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</si>
  <si>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</si>
  <si>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Banana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</si>
  <si>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</si>
  <si>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</si>
  <si>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</si>
  <si>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</si>
  <si>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</si>
  <si>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</si>
  <si>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</si>
  <si>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</si>
  <si>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</si>
  <si>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</si>
  <si>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</si>
  <si>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</si>
  <si>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</si>
  <si>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</si>
  <si>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</si>
  <si>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</si>
  <si>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</si>
  <si>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</si>
  <si>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</si>
  <si>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</si>
  <si>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</si>
  <si>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</si>
  <si>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</si>
  <si>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</si>
  <si>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</si>
  <si>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</si>
  <si>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</si>
  <si>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</si>
  <si>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</si>
  <si>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</si>
  <si>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</si>
  <si>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</si>
  <si>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</si>
  <si>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</si>
  <si>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</si>
  <si>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</si>
  <si>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</si>
  <si>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</si>
  <si>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</si>
  <si>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</si>
  <si>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</si>
  <si>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</si>
  <si>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</si>
  <si>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</si>
  <si>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</si>
  <si>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</si>
  <si>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</si>
  <si>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</si>
  <si>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</si>
  <si>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</si>
  <si>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</si>
  <si>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</si>
  <si>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</si>
  <si>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</si>
  <si>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</si>
  <si>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</si>
  <si>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</si>
  <si>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</si>
  <si>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</si>
  <si>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</si>
  <si>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</si>
  <si>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</si>
  <si>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</si>
  <si>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</si>
  <si>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</si>
  <si>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</si>
  <si>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</si>
  <si>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</si>
  <si>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</si>
  <si>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</si>
  <si>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</si>
  <si>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</si>
  <si>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</si>
  <si>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</si>
  <si>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</si>
  <si>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</si>
  <si>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</si>
  <si>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</si>
  <si>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</si>
  <si>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</si>
  <si>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</si>
  <si>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</si>
  <si>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</si>
  <si>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</si>
  <si>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</si>
  <si>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</si>
  <si>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</si>
  <si>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</si>
  <si>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</si>
  <si>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</si>
  <si>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</si>
  <si>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</si>
  <si>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</si>
  <si>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</si>
  <si>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</si>
  <si>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</si>
  <si>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</si>
  <si>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</si>
  <si>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</si>
  <si>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</si>
  <si>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</si>
  <si>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</si>
  <si>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</si>
  <si>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</si>
  <si>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</si>
  <si>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</si>
  <si>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</si>
  <si>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</si>
  <si>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</si>
  <si>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</si>
  <si>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</si>
  <si>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</si>
  <si>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</si>
  <si>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</si>
  <si>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</si>
  <si>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</si>
  <si>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</si>
  <si>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</si>
  <si>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</si>
  <si>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</si>
  <si>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</si>
  <si>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</si>
  <si>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</si>
  <si>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</si>
  <si>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</si>
  <si>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</si>
  <si>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</si>
  <si>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</si>
  <si>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</si>
  <si>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Month</t>
  </si>
  <si>
    <t>Year</t>
  </si>
  <si>
    <t>Revenue</t>
  </si>
  <si>
    <t>State ID</t>
  </si>
  <si>
    <t>S01</t>
  </si>
  <si>
    <t>S02</t>
  </si>
  <si>
    <t>S03</t>
  </si>
  <si>
    <t>S04</t>
  </si>
  <si>
    <t>Porduct Category ID</t>
  </si>
  <si>
    <t>PC01</t>
  </si>
  <si>
    <t>PC02</t>
  </si>
  <si>
    <t>PC03</t>
  </si>
  <si>
    <t>PC04</t>
  </si>
  <si>
    <t>Product 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</si>
  <si>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</si>
  <si>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</si>
  <si>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</si>
  <si>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</si>
  <si>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</si>
  <si>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</si>
  <si>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</si>
  <si>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</si>
  <si>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</si>
  <si>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Month Name</t>
  </si>
  <si>
    <t>Region</t>
  </si>
  <si>
    <t>East</t>
  </si>
  <si>
    <t>West</t>
  </si>
  <si>
    <t>Region ID</t>
  </si>
  <si>
    <t>R01</t>
  </si>
  <si>
    <t>R02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</si>
  <si>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</si>
  <si>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</si>
  <si>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</si>
  <si>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</si>
  <si>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</si>
  <si>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</si>
  <si>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</si>
  <si>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</si>
  <si>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</si>
  <si>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</si>
  <si>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</si>
  <si>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</si>
  <si>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</si>
  <si>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Week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</si>
</sst>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46"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C503A1-ABEF-4326-999B-95B5EBDFD630}" name="Table68" displayName="Table68" ref="A1:H245" totalsRowShown="0" headerRowDxfId="45" dataDxfId="44">
  <tableColumns count="8">
    <tableColumn id="1" xr3:uid="{7908239E-F258-494E-8802-26A7358F47A3}" name="ID" dataDxfId="43"/>
    <tableColumn id="13" xr3:uid="{0CD6026A-E454-440F-BECF-FCCFFC87921B}" name="Date" dataDxfId="42"/>
    <tableColumn id="6" xr3:uid="{D4334574-6C9A-4BA1-B0B7-0F0035972AD4}" name="Region" dataDxfId="41"/>
    <tableColumn id="7" xr3:uid="{0792057C-2EDA-4378-9CFF-0E83D655FBD6}" name="State" dataDxfId="40"/>
    <tableColumn id="8" xr3:uid="{02E96515-482F-454B-9765-956DA74C9268}" name="Product_Category" dataDxfId="39"/>
    <tableColumn id="9" xr3:uid="{F6111325-E734-4E3C-873C-FC677E675D5A}" name="Product" dataDxfId="38"/>
    <tableColumn id="10" xr3:uid="{1BC288DB-7108-49D9-999D-994A0E906B79}" name="Quantity" dataDxfId="37"/>
    <tableColumn id="11" xr3:uid="{3581BCE6-86A2-4817-9AD7-714236A7D86C}" name="Unit_Price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88DDC-C575-4C6D-9852-F17470B29D75}" name="Table6" displayName="Table6" ref="A1:M245" totalsRowShown="0" headerRowDxfId="35" dataDxfId="34">
  <tableColumns count="13">
    <tableColumn id="1" xr3:uid="{BC9C15C4-CC5F-42BF-8F5A-C72A4D3E2E9C}" name="ID" dataDxfId="33"/>
    <tableColumn id="13" xr3:uid="{535A9ABB-02C5-4012-B8B5-836B92551DFB}" name="Date" dataDxfId="32"/>
    <tableColumn id="4" xr3:uid="{D7BDBB8F-43B8-4EFA-B6F9-A4C45175AFCF}" name="Month" dataDxfId="31"/>
    <tableColumn id="3" xr3:uid="{D304F1B7-AB62-4529-B333-674E06C14BD1}" name="Week Day" dataDxfId="30"/>
    <tableColumn id="14" xr3:uid="{D4366CB7-8C5E-466E-A151-F4FBF096C870}" name="Year" dataDxfId="29"/>
    <tableColumn id="5" xr3:uid="{047341C1-3B13-4B86-BFA9-5146D0506028}" name="Month Name" dataDxfId="28"/>
    <tableColumn id="6" xr3:uid="{0FAAEE20-ED4C-4007-B960-DB4EE045283D}" name="Region" dataDxfId="27"/>
    <tableColumn id="7" xr3:uid="{3B658212-5E3F-487C-955F-1EF591A0397D}" name="State" dataDxfId="26"/>
    <tableColumn id="8" xr3:uid="{EC65BD5F-A4D3-4945-AD67-D0D36F0BBDFB}" name="Product_Category" dataDxfId="25"/>
    <tableColumn id="9" xr3:uid="{6A4644B0-5531-45DC-987E-CE7ABE42B9D9}" name="Product" dataDxfId="24"/>
    <tableColumn id="10" xr3:uid="{9FEC9953-2ED4-46CC-8FA1-CC4C9E795B7F}" name="Quantity" dataDxfId="23"/>
    <tableColumn id="11" xr3:uid="{C1D6F201-A72D-4A11-83FB-5A7437D14407}" name="Unit_Price" dataDxfId="22"/>
    <tableColumn id="12" xr3:uid="{E35D93F5-6165-4F0F-AE94-2BF6E225D31B}" name="Revenue" dataDxfId="21">
      <calculatedColumnFormula>K2*L2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E47B1D-73F4-4923-8785-75FC076FF798}" name="Table5" displayName="Table5" ref="B1:C3" totalsRowShown="0" headerRowDxfId="20" dataDxfId="19">
  <tableColumns count="2">
    <tableColumn id="1" xr3:uid="{49F54408-06D3-4FFF-B72F-509C47C8EC02}" name="Region ID" dataDxfId="18"/>
    <tableColumn id="2" xr3:uid="{34B89F42-AFA9-4EB7-9D83-4D516E054FF2}" name="Region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F9BA-FA03-4238-99C6-35EF82D6912E}" name="Table1" displayName="Table1" ref="B1:C5" totalsRowShown="0" headerRowDxfId="16" dataDxfId="15">
  <tableColumns count="2">
    <tableColumn id="1" xr3:uid="{A29D13B4-3C30-47DE-A94E-A8715BF3C4DB}" name="State ID" dataDxfId="14"/>
    <tableColumn id="2" xr3:uid="{88DD6B61-9E32-494E-93E5-FF28B04804DE}" name="State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46AAB-C5AD-4F44-BFBF-3313E5A73D6B}" name="Table2" displayName="Table2" ref="B1:C5" totalsRowShown="0" headerRowDxfId="12" dataDxfId="11">
  <tableColumns count="2">
    <tableColumn id="1" xr3:uid="{534A0C33-D532-4634-B868-6723592D0FFD}" name="Porduct Category ID" dataDxfId="10"/>
    <tableColumn id="2" xr3:uid="{FB3645AB-B495-4AC7-B3A4-1FBD76C0967D}" name="Product_Category" dataDxfId="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2B182C-7E29-464F-BA6D-EEED6A1575BF}" name="Table4" displayName="Table4" ref="B1:C10" totalsRowShown="0" headerRowDxfId="8" dataDxfId="7">
  <tableColumns count="2">
    <tableColumn id="1" xr3:uid="{653E51D9-A8DA-48EA-9DC9-A4458E739179}" name="Product ID" dataDxfId="6"/>
    <tableColumn id="2" xr3:uid="{2532BAB2-449F-4FB7-B39E-C36FA555F2CA}" name="Product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8193CC-A989-4552-BBA9-71E47320198B}" name="Table3" displayName="Table3" ref="B1:D25" totalsRowShown="0" headerRowDxfId="4" dataDxfId="3">
  <tableColumns count="3">
    <tableColumn id="1" xr3:uid="{BD5A1404-041E-416E-B79E-4297E3933EFC}" name="Year" dataDxfId="2"/>
    <tableColumn id="2" xr3:uid="{8D27333C-8A19-43CD-BCDB-5AA5C94DE8BC}" name="Month" dataDxfId="1"/>
    <tableColumn id="4" xr3:uid="{8F889F3B-117C-4734-82B3-F96DC43A92F6}" name="Month Name" dataDxfId="0">
      <calculatedColumnFormula array="1">_xlfn.IFS(C2=1,"January",C2=2,"February",C2=3,"March",C2=4,"April",C2=5,"May",C2=6,"June",C2=7,"July",C2=8,"August",C2=9,"September",C2=10,"October",C2=11,"November",C2=12,"December")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91F0-7948-455E-8929-C5177BB409E6}">
  <dimension ref="A1:H245"/>
  <sheetViews>
    <sheetView tabSelected="1" workbookViewId="0">
      <selection activeCell="N16" sqref="N16"/>
    </sheetView>
  </sheetViews>
  <sheetFormatPr defaultRowHeight="14.5" x14ac:dyDescent="0.35"/>
  <cols>
    <col min="1" max="1" width="8.7265625" customWidth="1"/>
    <col min="2" max="2" width="10.08984375" bestFit="1" customWidth="1"/>
    <col min="3" max="3" width="10.36328125" style="1" bestFit="1" customWidth="1"/>
    <col min="4" max="4" width="15.36328125" bestFit="1" customWidth="1"/>
    <col min="5" max="5" width="17.54296875" customWidth="1"/>
    <col min="6" max="6" width="14.36328125" customWidth="1"/>
    <col min="7" max="7" width="10" customWidth="1"/>
    <col min="8" max="8" width="11.453125" customWidth="1"/>
    <col min="9" max="9" width="10.453125" customWidth="1"/>
  </cols>
  <sheetData>
    <row r="1" spans="1:8" x14ac:dyDescent="0.35">
      <c r="A1" s="3" t="s">
        <v>0</v>
      </c>
      <c r="B1" s="3" t="s">
        <v>309</v>
      </c>
      <c r="C1" s="3" t="s">
        <v>291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5">
      <c r="A2" s="1" t="s">
        <v>6</v>
      </c>
      <c r="B2" s="6">
        <v>44562</v>
      </c>
      <c r="C2" s="1" t="s">
        <v>292</v>
      </c>
      <c r="D2" s="1" t="s">
        <v>7</v>
      </c>
      <c r="E2" s="1" t="s">
        <v>8</v>
      </c>
      <c r="F2" s="1" t="s">
        <v>9</v>
      </c>
      <c r="G2" s="1">
        <v>33</v>
      </c>
      <c r="H2" s="1">
        <v>1.77</v>
      </c>
    </row>
    <row r="3" spans="1:8" x14ac:dyDescent="0.35">
      <c r="A3" s="1" t="s">
        <v>10</v>
      </c>
      <c r="B3" s="6">
        <v>44565</v>
      </c>
      <c r="C3" s="1" t="s">
        <v>292</v>
      </c>
      <c r="D3" s="1" t="s">
        <v>7</v>
      </c>
      <c r="E3" s="1" t="s">
        <v>11</v>
      </c>
      <c r="F3" s="1" t="s">
        <v>12</v>
      </c>
      <c r="G3" s="1">
        <v>87</v>
      </c>
      <c r="H3" s="1">
        <v>3.49</v>
      </c>
    </row>
    <row r="4" spans="1:8" x14ac:dyDescent="0.35">
      <c r="A4" s="1" t="s">
        <v>13</v>
      </c>
      <c r="B4" s="6">
        <v>44568</v>
      </c>
      <c r="C4" s="1" t="s">
        <v>293</v>
      </c>
      <c r="D4" s="1" t="s">
        <v>14</v>
      </c>
      <c r="E4" s="1" t="s">
        <v>15</v>
      </c>
      <c r="F4" s="1" t="s">
        <v>16</v>
      </c>
      <c r="G4" s="1">
        <v>58</v>
      </c>
      <c r="H4" s="1">
        <v>1.87</v>
      </c>
    </row>
    <row r="5" spans="1:8" x14ac:dyDescent="0.35">
      <c r="A5" s="1" t="s">
        <v>17</v>
      </c>
      <c r="B5" s="6">
        <v>44571</v>
      </c>
      <c r="C5" s="1" t="s">
        <v>292</v>
      </c>
      <c r="D5" s="1" t="s">
        <v>18</v>
      </c>
      <c r="E5" s="1" t="s">
        <v>15</v>
      </c>
      <c r="F5" s="1" t="s">
        <v>16</v>
      </c>
      <c r="G5" s="1">
        <v>82</v>
      </c>
      <c r="H5" s="1">
        <v>1.87</v>
      </c>
    </row>
    <row r="6" spans="1:8" x14ac:dyDescent="0.35">
      <c r="A6" s="1" t="s">
        <v>19</v>
      </c>
      <c r="B6" s="6">
        <v>44574</v>
      </c>
      <c r="C6" s="1" t="s">
        <v>292</v>
      </c>
      <c r="D6" s="1" t="s">
        <v>7</v>
      </c>
      <c r="E6" s="1" t="s">
        <v>15</v>
      </c>
      <c r="F6" s="1" t="s">
        <v>20</v>
      </c>
      <c r="G6" s="1">
        <v>38</v>
      </c>
      <c r="H6" s="1">
        <v>2.1800000000000002</v>
      </c>
    </row>
    <row r="7" spans="1:8" x14ac:dyDescent="0.35">
      <c r="A7" s="1" t="s">
        <v>21</v>
      </c>
      <c r="B7" s="6">
        <v>44577</v>
      </c>
      <c r="C7" s="1" t="s">
        <v>292</v>
      </c>
      <c r="D7" s="1" t="s">
        <v>7</v>
      </c>
      <c r="E7" s="1" t="s">
        <v>8</v>
      </c>
      <c r="F7" s="1" t="s">
        <v>9</v>
      </c>
      <c r="G7" s="1">
        <v>54</v>
      </c>
      <c r="H7" s="1">
        <v>1.77</v>
      </c>
    </row>
    <row r="8" spans="1:8" x14ac:dyDescent="0.35">
      <c r="A8" s="1" t="s">
        <v>22</v>
      </c>
      <c r="B8" s="6">
        <v>44580</v>
      </c>
      <c r="C8" s="1" t="s">
        <v>292</v>
      </c>
      <c r="D8" s="1" t="s">
        <v>7</v>
      </c>
      <c r="E8" s="1" t="s">
        <v>11</v>
      </c>
      <c r="F8" s="1" t="s">
        <v>12</v>
      </c>
      <c r="G8" s="1">
        <v>149</v>
      </c>
      <c r="H8" s="1">
        <v>3.49</v>
      </c>
    </row>
    <row r="9" spans="1:8" x14ac:dyDescent="0.35">
      <c r="A9" s="1" t="s">
        <v>23</v>
      </c>
      <c r="B9" s="6">
        <v>44583</v>
      </c>
      <c r="C9" s="1" t="s">
        <v>293</v>
      </c>
      <c r="D9" s="1" t="s">
        <v>14</v>
      </c>
      <c r="E9" s="1" t="s">
        <v>8</v>
      </c>
      <c r="F9" s="1" t="s">
        <v>9</v>
      </c>
      <c r="G9" s="1">
        <v>51</v>
      </c>
      <c r="H9" s="1">
        <v>1.77</v>
      </c>
    </row>
    <row r="10" spans="1:8" x14ac:dyDescent="0.35">
      <c r="A10" s="1" t="s">
        <v>24</v>
      </c>
      <c r="B10" s="6">
        <v>44586</v>
      </c>
      <c r="C10" s="1" t="s">
        <v>292</v>
      </c>
      <c r="D10" s="1" t="s">
        <v>18</v>
      </c>
      <c r="E10" s="1" t="s">
        <v>8</v>
      </c>
      <c r="F10" s="1" t="s">
        <v>9</v>
      </c>
      <c r="G10" s="1">
        <v>100</v>
      </c>
      <c r="H10" s="1">
        <v>1.77</v>
      </c>
    </row>
    <row r="11" spans="1:8" x14ac:dyDescent="0.35">
      <c r="A11" s="1" t="s">
        <v>25</v>
      </c>
      <c r="B11" s="6">
        <v>44589</v>
      </c>
      <c r="C11" s="1" t="s">
        <v>292</v>
      </c>
      <c r="D11" s="1" t="s">
        <v>18</v>
      </c>
      <c r="E11" s="1" t="s">
        <v>26</v>
      </c>
      <c r="F11" s="1" t="s">
        <v>27</v>
      </c>
      <c r="G11" s="1">
        <v>28</v>
      </c>
      <c r="H11" s="1">
        <v>1.35</v>
      </c>
    </row>
    <row r="12" spans="1:8" x14ac:dyDescent="0.35">
      <c r="A12" s="1" t="s">
        <v>28</v>
      </c>
      <c r="B12" s="6">
        <v>44592</v>
      </c>
      <c r="C12" s="1" t="s">
        <v>292</v>
      </c>
      <c r="D12" s="1" t="s">
        <v>7</v>
      </c>
      <c r="E12" s="1" t="s">
        <v>15</v>
      </c>
      <c r="F12" s="1" t="s">
        <v>20</v>
      </c>
      <c r="G12" s="1">
        <v>36</v>
      </c>
      <c r="H12" s="1">
        <v>2.1800000000000002</v>
      </c>
    </row>
    <row r="13" spans="1:8" x14ac:dyDescent="0.35">
      <c r="A13" s="1" t="s">
        <v>29</v>
      </c>
      <c r="B13" s="6">
        <v>44595</v>
      </c>
      <c r="C13" s="1" t="s">
        <v>292</v>
      </c>
      <c r="D13" s="1" t="s">
        <v>7</v>
      </c>
      <c r="E13" s="1" t="s">
        <v>15</v>
      </c>
      <c r="F13" s="1" t="s">
        <v>16</v>
      </c>
      <c r="G13" s="1">
        <v>31</v>
      </c>
      <c r="H13" s="1">
        <v>1.87</v>
      </c>
    </row>
    <row r="14" spans="1:8" x14ac:dyDescent="0.35">
      <c r="A14" s="1" t="s">
        <v>30</v>
      </c>
      <c r="B14" s="6">
        <v>44598</v>
      </c>
      <c r="C14" s="1" t="s">
        <v>292</v>
      </c>
      <c r="D14" s="1" t="s">
        <v>7</v>
      </c>
      <c r="E14" s="1" t="s">
        <v>11</v>
      </c>
      <c r="F14" s="1" t="s">
        <v>12</v>
      </c>
      <c r="G14" s="1">
        <v>28</v>
      </c>
      <c r="H14" s="1">
        <v>3.49</v>
      </c>
    </row>
    <row r="15" spans="1:8" x14ac:dyDescent="0.35">
      <c r="A15" s="1" t="s">
        <v>31</v>
      </c>
      <c r="B15" s="6">
        <v>44601</v>
      </c>
      <c r="C15" s="1" t="s">
        <v>293</v>
      </c>
      <c r="D15" s="1" t="s">
        <v>14</v>
      </c>
      <c r="E15" s="1" t="s">
        <v>8</v>
      </c>
      <c r="F15" s="1" t="s">
        <v>9</v>
      </c>
      <c r="G15" s="1">
        <v>44</v>
      </c>
      <c r="H15" s="1">
        <v>1.77</v>
      </c>
    </row>
    <row r="16" spans="1:8" x14ac:dyDescent="0.35">
      <c r="A16" s="1" t="s">
        <v>32</v>
      </c>
      <c r="B16" s="6">
        <v>44604</v>
      </c>
      <c r="C16" s="1" t="s">
        <v>292</v>
      </c>
      <c r="D16" s="1" t="s">
        <v>18</v>
      </c>
      <c r="E16" s="1" t="s">
        <v>8</v>
      </c>
      <c r="F16" s="1" t="s">
        <v>9</v>
      </c>
      <c r="G16" s="1">
        <v>23</v>
      </c>
      <c r="H16" s="1">
        <v>1.77</v>
      </c>
    </row>
    <row r="17" spans="1:8" x14ac:dyDescent="0.35">
      <c r="A17" s="1" t="s">
        <v>33</v>
      </c>
      <c r="B17" s="6">
        <v>44607</v>
      </c>
      <c r="C17" s="1" t="s">
        <v>292</v>
      </c>
      <c r="D17" s="1" t="s">
        <v>18</v>
      </c>
      <c r="E17" s="1" t="s">
        <v>26</v>
      </c>
      <c r="F17" s="1" t="s">
        <v>27</v>
      </c>
      <c r="G17" s="1">
        <v>27</v>
      </c>
      <c r="H17" s="1">
        <v>1.35</v>
      </c>
    </row>
    <row r="18" spans="1:8" x14ac:dyDescent="0.35">
      <c r="A18" s="1" t="s">
        <v>34</v>
      </c>
      <c r="B18" s="6">
        <v>44610</v>
      </c>
      <c r="C18" s="1" t="s">
        <v>292</v>
      </c>
      <c r="D18" s="1" t="s">
        <v>7</v>
      </c>
      <c r="E18" s="1" t="s">
        <v>15</v>
      </c>
      <c r="F18" s="1" t="s">
        <v>20</v>
      </c>
      <c r="G18" s="1">
        <v>43</v>
      </c>
      <c r="H18" s="1">
        <v>2.1800000000000002</v>
      </c>
    </row>
    <row r="19" spans="1:8" x14ac:dyDescent="0.35">
      <c r="A19" s="1" t="s">
        <v>35</v>
      </c>
      <c r="B19" s="6">
        <v>44613</v>
      </c>
      <c r="C19" s="1" t="s">
        <v>292</v>
      </c>
      <c r="D19" s="1" t="s">
        <v>7</v>
      </c>
      <c r="E19" s="1" t="s">
        <v>15</v>
      </c>
      <c r="F19" s="1" t="s">
        <v>36</v>
      </c>
      <c r="G19" s="1">
        <v>123</v>
      </c>
      <c r="H19" s="1">
        <v>2.84</v>
      </c>
    </row>
    <row r="20" spans="1:8" x14ac:dyDescent="0.35">
      <c r="A20" s="1" t="s">
        <v>37</v>
      </c>
      <c r="B20" s="6">
        <v>44616</v>
      </c>
      <c r="C20" s="1" t="s">
        <v>293</v>
      </c>
      <c r="D20" s="1" t="s">
        <v>14</v>
      </c>
      <c r="E20" s="1" t="s">
        <v>8</v>
      </c>
      <c r="F20" s="1" t="s">
        <v>38</v>
      </c>
      <c r="G20" s="1">
        <v>42</v>
      </c>
      <c r="H20" s="1">
        <v>1.87</v>
      </c>
    </row>
    <row r="21" spans="1:8" x14ac:dyDescent="0.35">
      <c r="A21" s="1" t="s">
        <v>39</v>
      </c>
      <c r="B21" s="6">
        <v>44619</v>
      </c>
      <c r="C21" s="1" t="s">
        <v>293</v>
      </c>
      <c r="D21" s="1" t="s">
        <v>14</v>
      </c>
      <c r="E21" s="1" t="s">
        <v>15</v>
      </c>
      <c r="F21" s="1" t="s">
        <v>36</v>
      </c>
      <c r="G21" s="1">
        <v>33</v>
      </c>
      <c r="H21" s="1">
        <v>2.84</v>
      </c>
    </row>
    <row r="22" spans="1:8" x14ac:dyDescent="0.35">
      <c r="A22" s="1" t="s">
        <v>40</v>
      </c>
      <c r="B22" s="6">
        <v>44622</v>
      </c>
      <c r="C22" s="1" t="s">
        <v>292</v>
      </c>
      <c r="D22" s="1" t="s">
        <v>18</v>
      </c>
      <c r="E22" s="1" t="s">
        <v>15</v>
      </c>
      <c r="F22" s="1" t="s">
        <v>16</v>
      </c>
      <c r="G22" s="1">
        <v>85</v>
      </c>
      <c r="H22" s="1">
        <v>1.87</v>
      </c>
    </row>
    <row r="23" spans="1:8" x14ac:dyDescent="0.35">
      <c r="A23" s="1" t="s">
        <v>41</v>
      </c>
      <c r="B23" s="6">
        <v>44625</v>
      </c>
      <c r="C23" s="1" t="s">
        <v>293</v>
      </c>
      <c r="D23" s="1" t="s">
        <v>42</v>
      </c>
      <c r="E23" s="1" t="s">
        <v>15</v>
      </c>
      <c r="F23" s="1" t="s">
        <v>36</v>
      </c>
      <c r="G23" s="1">
        <v>30</v>
      </c>
      <c r="H23" s="1">
        <v>2.84</v>
      </c>
    </row>
    <row r="24" spans="1:8" x14ac:dyDescent="0.35">
      <c r="A24" s="1" t="s">
        <v>43</v>
      </c>
      <c r="B24" s="6">
        <v>44628</v>
      </c>
      <c r="C24" s="1" t="s">
        <v>292</v>
      </c>
      <c r="D24" s="1" t="s">
        <v>7</v>
      </c>
      <c r="E24" s="1" t="s">
        <v>8</v>
      </c>
      <c r="F24" s="1" t="s">
        <v>9</v>
      </c>
      <c r="G24" s="1">
        <v>61</v>
      </c>
      <c r="H24" s="1">
        <v>1.77</v>
      </c>
    </row>
    <row r="25" spans="1:8" x14ac:dyDescent="0.35">
      <c r="A25" s="1" t="s">
        <v>44</v>
      </c>
      <c r="B25" s="6">
        <v>44631</v>
      </c>
      <c r="C25" s="1" t="s">
        <v>292</v>
      </c>
      <c r="D25" s="1" t="s">
        <v>7</v>
      </c>
      <c r="E25" s="1" t="s">
        <v>11</v>
      </c>
      <c r="F25" s="1" t="s">
        <v>12</v>
      </c>
      <c r="G25" s="1">
        <v>40</v>
      </c>
      <c r="H25" s="1">
        <v>3.49</v>
      </c>
    </row>
    <row r="26" spans="1:8" x14ac:dyDescent="0.35">
      <c r="A26" s="1" t="s">
        <v>45</v>
      </c>
      <c r="B26" s="6">
        <v>44634</v>
      </c>
      <c r="C26" s="1" t="s">
        <v>293</v>
      </c>
      <c r="D26" s="1" t="s">
        <v>14</v>
      </c>
      <c r="E26" s="1" t="s">
        <v>15</v>
      </c>
      <c r="F26" s="1" t="s">
        <v>16</v>
      </c>
      <c r="G26" s="1">
        <v>86</v>
      </c>
      <c r="H26" s="1">
        <v>1.87</v>
      </c>
    </row>
    <row r="27" spans="1:8" x14ac:dyDescent="0.35">
      <c r="A27" s="1" t="s">
        <v>46</v>
      </c>
      <c r="B27" s="6">
        <v>44637</v>
      </c>
      <c r="C27" s="1" t="s">
        <v>292</v>
      </c>
      <c r="D27" s="1" t="s">
        <v>18</v>
      </c>
      <c r="E27" s="1" t="s">
        <v>8</v>
      </c>
      <c r="F27" s="1" t="s">
        <v>9</v>
      </c>
      <c r="G27" s="1">
        <v>38</v>
      </c>
      <c r="H27" s="1">
        <v>1.77</v>
      </c>
    </row>
    <row r="28" spans="1:8" x14ac:dyDescent="0.35">
      <c r="A28" s="1" t="s">
        <v>47</v>
      </c>
      <c r="B28" s="6">
        <v>44640</v>
      </c>
      <c r="C28" s="1" t="s">
        <v>292</v>
      </c>
      <c r="D28" s="1" t="s">
        <v>18</v>
      </c>
      <c r="E28" s="1" t="s">
        <v>26</v>
      </c>
      <c r="F28" s="1" t="s">
        <v>27</v>
      </c>
      <c r="G28" s="1">
        <v>68</v>
      </c>
      <c r="H28" s="1">
        <v>1.68</v>
      </c>
    </row>
    <row r="29" spans="1:8" x14ac:dyDescent="0.35">
      <c r="A29" s="1" t="s">
        <v>48</v>
      </c>
      <c r="B29" s="6">
        <v>44643</v>
      </c>
      <c r="C29" s="1" t="s">
        <v>293</v>
      </c>
      <c r="D29" s="1" t="s">
        <v>42</v>
      </c>
      <c r="E29" s="1" t="s">
        <v>15</v>
      </c>
      <c r="F29" s="1" t="s">
        <v>16</v>
      </c>
      <c r="G29" s="1">
        <v>39</v>
      </c>
      <c r="H29" s="1">
        <v>1.87</v>
      </c>
    </row>
    <row r="30" spans="1:8" x14ac:dyDescent="0.35">
      <c r="A30" s="1" t="s">
        <v>49</v>
      </c>
      <c r="B30" s="6">
        <v>44646</v>
      </c>
      <c r="C30" s="1" t="s">
        <v>292</v>
      </c>
      <c r="D30" s="1" t="s">
        <v>7</v>
      </c>
      <c r="E30" s="1" t="s">
        <v>8</v>
      </c>
      <c r="F30" s="1" t="s">
        <v>38</v>
      </c>
      <c r="G30" s="1">
        <v>103</v>
      </c>
      <c r="H30" s="1">
        <v>1.87</v>
      </c>
    </row>
    <row r="31" spans="1:8" x14ac:dyDescent="0.35">
      <c r="A31" s="1" t="s">
        <v>50</v>
      </c>
      <c r="B31" s="6">
        <v>44649</v>
      </c>
      <c r="C31" s="1" t="s">
        <v>292</v>
      </c>
      <c r="D31" s="1" t="s">
        <v>7</v>
      </c>
      <c r="E31" s="1" t="s">
        <v>15</v>
      </c>
      <c r="F31" s="1" t="s">
        <v>36</v>
      </c>
      <c r="G31" s="1">
        <v>193</v>
      </c>
      <c r="H31" s="1">
        <v>2.84</v>
      </c>
    </row>
    <row r="32" spans="1:8" x14ac:dyDescent="0.35">
      <c r="A32" s="1" t="s">
        <v>51</v>
      </c>
      <c r="B32" s="6">
        <v>44652</v>
      </c>
      <c r="C32" s="1" t="s">
        <v>293</v>
      </c>
      <c r="D32" s="1" t="s">
        <v>14</v>
      </c>
      <c r="E32" s="1" t="s">
        <v>8</v>
      </c>
      <c r="F32" s="1" t="s">
        <v>9</v>
      </c>
      <c r="G32" s="1">
        <v>58</v>
      </c>
      <c r="H32" s="1">
        <v>1.77</v>
      </c>
    </row>
    <row r="33" spans="1:8" x14ac:dyDescent="0.35">
      <c r="A33" s="1" t="s">
        <v>52</v>
      </c>
      <c r="B33" s="6">
        <v>44655</v>
      </c>
      <c r="C33" s="1" t="s">
        <v>293</v>
      </c>
      <c r="D33" s="1" t="s">
        <v>14</v>
      </c>
      <c r="E33" s="1" t="s">
        <v>26</v>
      </c>
      <c r="F33" s="1" t="s">
        <v>27</v>
      </c>
      <c r="G33" s="1">
        <v>68</v>
      </c>
      <c r="H33" s="1">
        <v>1.68</v>
      </c>
    </row>
    <row r="34" spans="1:8" x14ac:dyDescent="0.35">
      <c r="A34" s="1" t="s">
        <v>53</v>
      </c>
      <c r="B34" s="6">
        <v>44658</v>
      </c>
      <c r="C34" s="1" t="s">
        <v>292</v>
      </c>
      <c r="D34" s="1" t="s">
        <v>18</v>
      </c>
      <c r="E34" s="1" t="s">
        <v>8</v>
      </c>
      <c r="F34" s="1" t="s">
        <v>9</v>
      </c>
      <c r="G34" s="1">
        <v>91</v>
      </c>
      <c r="H34" s="1">
        <v>1.77</v>
      </c>
    </row>
    <row r="35" spans="1:8" x14ac:dyDescent="0.35">
      <c r="A35" s="1" t="s">
        <v>54</v>
      </c>
      <c r="B35" s="6">
        <v>44661</v>
      </c>
      <c r="C35" s="1" t="s">
        <v>292</v>
      </c>
      <c r="D35" s="1" t="s">
        <v>18</v>
      </c>
      <c r="E35" s="1" t="s">
        <v>11</v>
      </c>
      <c r="F35" s="1" t="s">
        <v>12</v>
      </c>
      <c r="G35" s="1">
        <v>23</v>
      </c>
      <c r="H35" s="1">
        <v>3.49</v>
      </c>
    </row>
    <row r="36" spans="1:8" x14ac:dyDescent="0.35">
      <c r="A36" s="1" t="s">
        <v>55</v>
      </c>
      <c r="B36" s="6">
        <v>44664</v>
      </c>
      <c r="C36" s="1" t="s">
        <v>293</v>
      </c>
      <c r="D36" s="1" t="s">
        <v>42</v>
      </c>
      <c r="E36" s="1" t="s">
        <v>26</v>
      </c>
      <c r="F36" s="1" t="s">
        <v>27</v>
      </c>
      <c r="G36" s="1">
        <v>28</v>
      </c>
      <c r="H36" s="1">
        <v>1.68</v>
      </c>
    </row>
    <row r="37" spans="1:8" x14ac:dyDescent="0.35">
      <c r="A37" s="1" t="s">
        <v>56</v>
      </c>
      <c r="B37" s="6">
        <v>44667</v>
      </c>
      <c r="C37" s="1" t="s">
        <v>292</v>
      </c>
      <c r="D37" s="1" t="s">
        <v>7</v>
      </c>
      <c r="E37" s="1" t="s">
        <v>8</v>
      </c>
      <c r="F37" s="1" t="s">
        <v>9</v>
      </c>
      <c r="G37" s="1">
        <v>48</v>
      </c>
      <c r="H37" s="1">
        <v>1.77</v>
      </c>
    </row>
    <row r="38" spans="1:8" x14ac:dyDescent="0.35">
      <c r="A38" s="1" t="s">
        <v>57</v>
      </c>
      <c r="B38" s="6">
        <v>44670</v>
      </c>
      <c r="C38" s="1" t="s">
        <v>292</v>
      </c>
      <c r="D38" s="1" t="s">
        <v>7</v>
      </c>
      <c r="E38" s="1" t="s">
        <v>26</v>
      </c>
      <c r="F38" s="1" t="s">
        <v>27</v>
      </c>
      <c r="G38" s="1">
        <v>134</v>
      </c>
      <c r="H38" s="1">
        <v>1.68</v>
      </c>
    </row>
    <row r="39" spans="1:8" x14ac:dyDescent="0.35">
      <c r="A39" s="1" t="s">
        <v>58</v>
      </c>
      <c r="B39" s="6">
        <v>44673</v>
      </c>
      <c r="C39" s="1" t="s">
        <v>293</v>
      </c>
      <c r="D39" s="1" t="s">
        <v>14</v>
      </c>
      <c r="E39" s="1" t="s">
        <v>8</v>
      </c>
      <c r="F39" s="1" t="s">
        <v>9</v>
      </c>
      <c r="G39" s="1">
        <v>20</v>
      </c>
      <c r="H39" s="1">
        <v>1.77</v>
      </c>
    </row>
    <row r="40" spans="1:8" x14ac:dyDescent="0.35">
      <c r="A40" s="1" t="s">
        <v>59</v>
      </c>
      <c r="B40" s="6">
        <v>44676</v>
      </c>
      <c r="C40" s="1" t="s">
        <v>292</v>
      </c>
      <c r="D40" s="1" t="s">
        <v>18</v>
      </c>
      <c r="E40" s="1" t="s">
        <v>8</v>
      </c>
      <c r="F40" s="1" t="s">
        <v>9</v>
      </c>
      <c r="G40" s="1">
        <v>53</v>
      </c>
      <c r="H40" s="1">
        <v>1.77</v>
      </c>
    </row>
    <row r="41" spans="1:8" x14ac:dyDescent="0.35">
      <c r="A41" s="1" t="s">
        <v>60</v>
      </c>
      <c r="B41" s="6">
        <v>44679</v>
      </c>
      <c r="C41" s="1" t="s">
        <v>292</v>
      </c>
      <c r="D41" s="1" t="s">
        <v>18</v>
      </c>
      <c r="E41" s="1" t="s">
        <v>26</v>
      </c>
      <c r="F41" s="1" t="s">
        <v>27</v>
      </c>
      <c r="G41" s="1">
        <v>64</v>
      </c>
      <c r="H41" s="1">
        <v>1.68</v>
      </c>
    </row>
    <row r="42" spans="1:8" x14ac:dyDescent="0.35">
      <c r="A42" s="1" t="s">
        <v>61</v>
      </c>
      <c r="B42" s="6">
        <v>44682</v>
      </c>
      <c r="C42" s="1" t="s">
        <v>293</v>
      </c>
      <c r="D42" s="1" t="s">
        <v>42</v>
      </c>
      <c r="E42" s="1" t="s">
        <v>15</v>
      </c>
      <c r="F42" s="1" t="s">
        <v>16</v>
      </c>
      <c r="G42" s="1">
        <v>63</v>
      </c>
      <c r="H42" s="1">
        <v>1.87</v>
      </c>
    </row>
    <row r="43" spans="1:8" x14ac:dyDescent="0.35">
      <c r="A43" s="1" t="s">
        <v>62</v>
      </c>
      <c r="B43" s="6">
        <v>44685</v>
      </c>
      <c r="C43" s="1" t="s">
        <v>292</v>
      </c>
      <c r="D43" s="1" t="s">
        <v>7</v>
      </c>
      <c r="E43" s="1" t="s">
        <v>8</v>
      </c>
      <c r="F43" s="1" t="s">
        <v>38</v>
      </c>
      <c r="G43" s="1">
        <v>105</v>
      </c>
      <c r="H43" s="1">
        <v>1.87</v>
      </c>
    </row>
    <row r="44" spans="1:8" x14ac:dyDescent="0.35">
      <c r="A44" s="1" t="s">
        <v>63</v>
      </c>
      <c r="B44" s="6">
        <v>44688</v>
      </c>
      <c r="C44" s="1" t="s">
        <v>292</v>
      </c>
      <c r="D44" s="1" t="s">
        <v>7</v>
      </c>
      <c r="E44" s="1" t="s">
        <v>15</v>
      </c>
      <c r="F44" s="1" t="s">
        <v>36</v>
      </c>
      <c r="G44" s="1">
        <v>138</v>
      </c>
      <c r="H44" s="1">
        <v>2.84</v>
      </c>
    </row>
    <row r="45" spans="1:8" x14ac:dyDescent="0.35">
      <c r="A45" s="1" t="s">
        <v>64</v>
      </c>
      <c r="B45" s="6">
        <v>44691</v>
      </c>
      <c r="C45" s="1" t="s">
        <v>293</v>
      </c>
      <c r="D45" s="1" t="s">
        <v>14</v>
      </c>
      <c r="E45" s="1" t="s">
        <v>8</v>
      </c>
      <c r="F45" s="1" t="s">
        <v>9</v>
      </c>
      <c r="G45" s="1">
        <v>25</v>
      </c>
      <c r="H45" s="1">
        <v>1.77</v>
      </c>
    </row>
    <row r="46" spans="1:8" x14ac:dyDescent="0.35">
      <c r="A46" s="1" t="s">
        <v>65</v>
      </c>
      <c r="B46" s="6">
        <v>44694</v>
      </c>
      <c r="C46" s="1" t="s">
        <v>293</v>
      </c>
      <c r="D46" s="1" t="s">
        <v>14</v>
      </c>
      <c r="E46" s="1" t="s">
        <v>11</v>
      </c>
      <c r="F46" s="1" t="s">
        <v>12</v>
      </c>
      <c r="G46" s="1">
        <v>21</v>
      </c>
      <c r="H46" s="1">
        <v>3.49</v>
      </c>
    </row>
    <row r="47" spans="1:8" x14ac:dyDescent="0.35">
      <c r="A47" s="1" t="s">
        <v>66</v>
      </c>
      <c r="B47" s="6">
        <v>44697</v>
      </c>
      <c r="C47" s="1" t="s">
        <v>292</v>
      </c>
      <c r="D47" s="1" t="s">
        <v>18</v>
      </c>
      <c r="E47" s="1" t="s">
        <v>8</v>
      </c>
      <c r="F47" s="1" t="s">
        <v>9</v>
      </c>
      <c r="G47" s="1">
        <v>61</v>
      </c>
      <c r="H47" s="1">
        <v>1.77</v>
      </c>
    </row>
    <row r="48" spans="1:8" x14ac:dyDescent="0.35">
      <c r="A48" s="1" t="s">
        <v>67</v>
      </c>
      <c r="B48" s="6">
        <v>44700</v>
      </c>
      <c r="C48" s="1" t="s">
        <v>292</v>
      </c>
      <c r="D48" s="1" t="s">
        <v>18</v>
      </c>
      <c r="E48" s="1" t="s">
        <v>26</v>
      </c>
      <c r="F48" s="1" t="s">
        <v>27</v>
      </c>
      <c r="G48" s="1">
        <v>49</v>
      </c>
      <c r="H48" s="1">
        <v>1.68</v>
      </c>
    </row>
    <row r="49" spans="1:8" x14ac:dyDescent="0.35">
      <c r="A49" s="1" t="s">
        <v>68</v>
      </c>
      <c r="B49" s="6">
        <v>44703</v>
      </c>
      <c r="C49" s="1" t="s">
        <v>293</v>
      </c>
      <c r="D49" s="1" t="s">
        <v>42</v>
      </c>
      <c r="E49" s="1" t="s">
        <v>15</v>
      </c>
      <c r="F49" s="1" t="s">
        <v>16</v>
      </c>
      <c r="G49" s="1">
        <v>55</v>
      </c>
      <c r="H49" s="1">
        <v>1.87</v>
      </c>
    </row>
    <row r="50" spans="1:8" x14ac:dyDescent="0.35">
      <c r="A50" s="1" t="s">
        <v>69</v>
      </c>
      <c r="B50" s="6">
        <v>44706</v>
      </c>
      <c r="C50" s="1" t="s">
        <v>292</v>
      </c>
      <c r="D50" s="1" t="s">
        <v>7</v>
      </c>
      <c r="E50" s="1" t="s">
        <v>15</v>
      </c>
      <c r="F50" s="1" t="s">
        <v>20</v>
      </c>
      <c r="G50" s="1">
        <v>27</v>
      </c>
      <c r="H50" s="1">
        <v>2.1800000000000002</v>
      </c>
    </row>
    <row r="51" spans="1:8" x14ac:dyDescent="0.35">
      <c r="A51" s="1" t="s">
        <v>70</v>
      </c>
      <c r="B51" s="6">
        <v>44709</v>
      </c>
      <c r="C51" s="1" t="s">
        <v>292</v>
      </c>
      <c r="D51" s="1" t="s">
        <v>7</v>
      </c>
      <c r="E51" s="1" t="s">
        <v>8</v>
      </c>
      <c r="F51" s="1" t="s">
        <v>9</v>
      </c>
      <c r="G51" s="1">
        <v>58</v>
      </c>
      <c r="H51" s="1">
        <v>1.77</v>
      </c>
    </row>
    <row r="52" spans="1:8" x14ac:dyDescent="0.35">
      <c r="A52" s="1" t="s">
        <v>71</v>
      </c>
      <c r="B52" s="6">
        <v>44712</v>
      </c>
      <c r="C52" s="1" t="s">
        <v>292</v>
      </c>
      <c r="D52" s="1" t="s">
        <v>7</v>
      </c>
      <c r="E52" s="1" t="s">
        <v>11</v>
      </c>
      <c r="F52" s="1" t="s">
        <v>12</v>
      </c>
      <c r="G52" s="1">
        <v>33</v>
      </c>
      <c r="H52" s="1">
        <v>3.49</v>
      </c>
    </row>
    <row r="53" spans="1:8" x14ac:dyDescent="0.35">
      <c r="A53" s="1" t="s">
        <v>72</v>
      </c>
      <c r="B53" s="6">
        <v>44715</v>
      </c>
      <c r="C53" s="1" t="s">
        <v>293</v>
      </c>
      <c r="D53" s="1" t="s">
        <v>14</v>
      </c>
      <c r="E53" s="1" t="s">
        <v>15</v>
      </c>
      <c r="F53" s="1" t="s">
        <v>36</v>
      </c>
      <c r="G53" s="1">
        <v>288</v>
      </c>
      <c r="H53" s="1">
        <v>2.84</v>
      </c>
    </row>
    <row r="54" spans="1:8" x14ac:dyDescent="0.35">
      <c r="A54" s="1" t="s">
        <v>73</v>
      </c>
      <c r="B54" s="6">
        <v>44718</v>
      </c>
      <c r="C54" s="1" t="s">
        <v>292</v>
      </c>
      <c r="D54" s="1" t="s">
        <v>18</v>
      </c>
      <c r="E54" s="1" t="s">
        <v>15</v>
      </c>
      <c r="F54" s="1" t="s">
        <v>16</v>
      </c>
      <c r="G54" s="1">
        <v>76</v>
      </c>
      <c r="H54" s="1">
        <v>1.87</v>
      </c>
    </row>
    <row r="55" spans="1:8" x14ac:dyDescent="0.35">
      <c r="A55" s="1" t="s">
        <v>74</v>
      </c>
      <c r="B55" s="6">
        <v>44721</v>
      </c>
      <c r="C55" s="1" t="s">
        <v>293</v>
      </c>
      <c r="D55" s="1" t="s">
        <v>42</v>
      </c>
      <c r="E55" s="1" t="s">
        <v>8</v>
      </c>
      <c r="F55" s="1" t="s">
        <v>9</v>
      </c>
      <c r="G55" s="1">
        <v>42</v>
      </c>
      <c r="H55" s="1">
        <v>1.77</v>
      </c>
    </row>
    <row r="56" spans="1:8" x14ac:dyDescent="0.35">
      <c r="A56" s="1" t="s">
        <v>75</v>
      </c>
      <c r="B56" s="6">
        <v>44724</v>
      </c>
      <c r="C56" s="1" t="s">
        <v>293</v>
      </c>
      <c r="D56" s="1" t="s">
        <v>42</v>
      </c>
      <c r="E56" s="1" t="s">
        <v>11</v>
      </c>
      <c r="F56" s="1" t="s">
        <v>12</v>
      </c>
      <c r="G56" s="1">
        <v>20</v>
      </c>
      <c r="H56" s="1">
        <v>3.49</v>
      </c>
    </row>
    <row r="57" spans="1:8" x14ac:dyDescent="0.35">
      <c r="A57" s="1" t="s">
        <v>76</v>
      </c>
      <c r="B57" s="6">
        <v>44727</v>
      </c>
      <c r="C57" s="1" t="s">
        <v>292</v>
      </c>
      <c r="D57" s="1" t="s">
        <v>7</v>
      </c>
      <c r="E57" s="1" t="s">
        <v>8</v>
      </c>
      <c r="F57" s="1" t="s">
        <v>9</v>
      </c>
      <c r="G57" s="1">
        <v>75</v>
      </c>
      <c r="H57" s="1">
        <v>1.77</v>
      </c>
    </row>
    <row r="58" spans="1:8" x14ac:dyDescent="0.35">
      <c r="A58" s="1" t="s">
        <v>77</v>
      </c>
      <c r="B58" s="6">
        <v>44730</v>
      </c>
      <c r="C58" s="1" t="s">
        <v>292</v>
      </c>
      <c r="D58" s="1" t="s">
        <v>7</v>
      </c>
      <c r="E58" s="1" t="s">
        <v>11</v>
      </c>
      <c r="F58" s="1" t="s">
        <v>12</v>
      </c>
      <c r="G58" s="1">
        <v>38</v>
      </c>
      <c r="H58" s="1">
        <v>3.49</v>
      </c>
    </row>
    <row r="59" spans="1:8" x14ac:dyDescent="0.35">
      <c r="A59" s="1" t="s">
        <v>78</v>
      </c>
      <c r="B59" s="6">
        <v>44733</v>
      </c>
      <c r="C59" s="1" t="s">
        <v>293</v>
      </c>
      <c r="D59" s="1" t="s">
        <v>14</v>
      </c>
      <c r="E59" s="1" t="s">
        <v>8</v>
      </c>
      <c r="F59" s="1" t="s">
        <v>9</v>
      </c>
      <c r="G59" s="1">
        <v>306</v>
      </c>
      <c r="H59" s="1">
        <v>1.77</v>
      </c>
    </row>
    <row r="60" spans="1:8" x14ac:dyDescent="0.35">
      <c r="A60" s="1" t="s">
        <v>79</v>
      </c>
      <c r="B60" s="6">
        <v>44736</v>
      </c>
      <c r="C60" s="1" t="s">
        <v>293</v>
      </c>
      <c r="D60" s="1" t="s">
        <v>14</v>
      </c>
      <c r="E60" s="1" t="s">
        <v>26</v>
      </c>
      <c r="F60" s="1" t="s">
        <v>27</v>
      </c>
      <c r="G60" s="1">
        <v>28</v>
      </c>
      <c r="H60" s="1">
        <v>1.68</v>
      </c>
    </row>
    <row r="61" spans="1:8" x14ac:dyDescent="0.35">
      <c r="A61" s="1" t="s">
        <v>80</v>
      </c>
      <c r="B61" s="6">
        <v>44739</v>
      </c>
      <c r="C61" s="1" t="s">
        <v>292</v>
      </c>
      <c r="D61" s="1" t="s">
        <v>18</v>
      </c>
      <c r="E61" s="1" t="s">
        <v>8</v>
      </c>
      <c r="F61" s="1" t="s">
        <v>38</v>
      </c>
      <c r="G61" s="1">
        <v>110</v>
      </c>
      <c r="H61" s="1">
        <v>1.87</v>
      </c>
    </row>
    <row r="62" spans="1:8" x14ac:dyDescent="0.35">
      <c r="A62" s="1" t="s">
        <v>81</v>
      </c>
      <c r="B62" s="6">
        <v>44742</v>
      </c>
      <c r="C62" s="1" t="s">
        <v>292</v>
      </c>
      <c r="D62" s="1" t="s">
        <v>18</v>
      </c>
      <c r="E62" s="1" t="s">
        <v>15</v>
      </c>
      <c r="F62" s="1" t="s">
        <v>36</v>
      </c>
      <c r="G62" s="1">
        <v>51</v>
      </c>
      <c r="H62" s="1">
        <v>2.84</v>
      </c>
    </row>
    <row r="63" spans="1:8" x14ac:dyDescent="0.35">
      <c r="A63" s="1" t="s">
        <v>82</v>
      </c>
      <c r="B63" s="6">
        <v>44745</v>
      </c>
      <c r="C63" s="1" t="s">
        <v>293</v>
      </c>
      <c r="D63" s="1" t="s">
        <v>42</v>
      </c>
      <c r="E63" s="1" t="s">
        <v>8</v>
      </c>
      <c r="F63" s="1" t="s">
        <v>9</v>
      </c>
      <c r="G63" s="1">
        <v>52</v>
      </c>
      <c r="H63" s="1">
        <v>1.77</v>
      </c>
    </row>
    <row r="64" spans="1:8" x14ac:dyDescent="0.35">
      <c r="A64" s="1" t="s">
        <v>83</v>
      </c>
      <c r="B64" s="6">
        <v>44748</v>
      </c>
      <c r="C64" s="1" t="s">
        <v>293</v>
      </c>
      <c r="D64" s="1" t="s">
        <v>42</v>
      </c>
      <c r="E64" s="1" t="s">
        <v>11</v>
      </c>
      <c r="F64" s="1" t="s">
        <v>12</v>
      </c>
      <c r="G64" s="1">
        <v>28</v>
      </c>
      <c r="H64" s="1">
        <v>3.49</v>
      </c>
    </row>
    <row r="65" spans="1:8" x14ac:dyDescent="0.35">
      <c r="A65" s="1" t="s">
        <v>84</v>
      </c>
      <c r="B65" s="6">
        <v>44751</v>
      </c>
      <c r="C65" s="1" t="s">
        <v>292</v>
      </c>
      <c r="D65" s="1" t="s">
        <v>7</v>
      </c>
      <c r="E65" s="1" t="s">
        <v>8</v>
      </c>
      <c r="F65" s="1" t="s">
        <v>9</v>
      </c>
      <c r="G65" s="1">
        <v>136</v>
      </c>
      <c r="H65" s="1">
        <v>1.77</v>
      </c>
    </row>
    <row r="66" spans="1:8" x14ac:dyDescent="0.35">
      <c r="A66" s="1" t="s">
        <v>85</v>
      </c>
      <c r="B66" s="6">
        <v>44754</v>
      </c>
      <c r="C66" s="1" t="s">
        <v>292</v>
      </c>
      <c r="D66" s="1" t="s">
        <v>7</v>
      </c>
      <c r="E66" s="1" t="s">
        <v>11</v>
      </c>
      <c r="F66" s="1" t="s">
        <v>12</v>
      </c>
      <c r="G66" s="1">
        <v>42</v>
      </c>
      <c r="H66" s="1">
        <v>3.49</v>
      </c>
    </row>
    <row r="67" spans="1:8" x14ac:dyDescent="0.35">
      <c r="A67" s="1" t="s">
        <v>86</v>
      </c>
      <c r="B67" s="6">
        <v>44757</v>
      </c>
      <c r="C67" s="1" t="s">
        <v>293</v>
      </c>
      <c r="D67" s="1" t="s">
        <v>14</v>
      </c>
      <c r="E67" s="1" t="s">
        <v>15</v>
      </c>
      <c r="F67" s="1" t="s">
        <v>16</v>
      </c>
      <c r="G67" s="1">
        <v>75</v>
      </c>
      <c r="H67" s="1">
        <v>1.87</v>
      </c>
    </row>
    <row r="68" spans="1:8" x14ac:dyDescent="0.35">
      <c r="A68" s="1" t="s">
        <v>87</v>
      </c>
      <c r="B68" s="6">
        <v>44760</v>
      </c>
      <c r="C68" s="1" t="s">
        <v>292</v>
      </c>
      <c r="D68" s="1" t="s">
        <v>18</v>
      </c>
      <c r="E68" s="1" t="s">
        <v>8</v>
      </c>
      <c r="F68" s="1" t="s">
        <v>38</v>
      </c>
      <c r="G68" s="1">
        <v>72</v>
      </c>
      <c r="H68" s="1">
        <v>1.87</v>
      </c>
    </row>
    <row r="69" spans="1:8" x14ac:dyDescent="0.35">
      <c r="A69" s="1" t="s">
        <v>88</v>
      </c>
      <c r="B69" s="6">
        <v>44763</v>
      </c>
      <c r="C69" s="1" t="s">
        <v>292</v>
      </c>
      <c r="D69" s="1" t="s">
        <v>18</v>
      </c>
      <c r="E69" s="1" t="s">
        <v>15</v>
      </c>
      <c r="F69" s="1" t="s">
        <v>36</v>
      </c>
      <c r="G69" s="1">
        <v>56</v>
      </c>
      <c r="H69" s="1">
        <v>2.84</v>
      </c>
    </row>
    <row r="70" spans="1:8" x14ac:dyDescent="0.35">
      <c r="A70" s="1" t="s">
        <v>89</v>
      </c>
      <c r="B70" s="6">
        <v>44766</v>
      </c>
      <c r="C70" s="1" t="s">
        <v>293</v>
      </c>
      <c r="D70" s="1" t="s">
        <v>42</v>
      </c>
      <c r="E70" s="1" t="s">
        <v>8</v>
      </c>
      <c r="F70" s="1" t="s">
        <v>38</v>
      </c>
      <c r="G70" s="1">
        <v>51</v>
      </c>
      <c r="H70" s="1">
        <v>1.87</v>
      </c>
    </row>
    <row r="71" spans="1:8" x14ac:dyDescent="0.35">
      <c r="A71" s="1" t="s">
        <v>90</v>
      </c>
      <c r="B71" s="6">
        <v>44769</v>
      </c>
      <c r="C71" s="1" t="s">
        <v>293</v>
      </c>
      <c r="D71" s="1" t="s">
        <v>42</v>
      </c>
      <c r="E71" s="1" t="s">
        <v>26</v>
      </c>
      <c r="F71" s="1" t="s">
        <v>27</v>
      </c>
      <c r="G71" s="1">
        <v>31</v>
      </c>
      <c r="H71" s="1">
        <v>1.68</v>
      </c>
    </row>
    <row r="72" spans="1:8" x14ac:dyDescent="0.35">
      <c r="A72" s="1" t="s">
        <v>91</v>
      </c>
      <c r="B72" s="6">
        <v>44772</v>
      </c>
      <c r="C72" s="1" t="s">
        <v>292</v>
      </c>
      <c r="D72" s="1" t="s">
        <v>7</v>
      </c>
      <c r="E72" s="1" t="s">
        <v>8</v>
      </c>
      <c r="F72" s="1" t="s">
        <v>38</v>
      </c>
      <c r="G72" s="1">
        <v>56</v>
      </c>
      <c r="H72" s="1">
        <v>1.87</v>
      </c>
    </row>
    <row r="73" spans="1:8" x14ac:dyDescent="0.35">
      <c r="A73" s="1" t="s">
        <v>92</v>
      </c>
      <c r="B73" s="6">
        <v>44775</v>
      </c>
      <c r="C73" s="1" t="s">
        <v>292</v>
      </c>
      <c r="D73" s="1" t="s">
        <v>7</v>
      </c>
      <c r="E73" s="1" t="s">
        <v>15</v>
      </c>
      <c r="F73" s="1" t="s">
        <v>36</v>
      </c>
      <c r="G73" s="1">
        <v>137</v>
      </c>
      <c r="H73" s="1">
        <v>2.84</v>
      </c>
    </row>
    <row r="74" spans="1:8" x14ac:dyDescent="0.35">
      <c r="A74" s="1" t="s">
        <v>93</v>
      </c>
      <c r="B74" s="6">
        <v>44778</v>
      </c>
      <c r="C74" s="1" t="s">
        <v>293</v>
      </c>
      <c r="D74" s="1" t="s">
        <v>14</v>
      </c>
      <c r="E74" s="1" t="s">
        <v>15</v>
      </c>
      <c r="F74" s="1" t="s">
        <v>16</v>
      </c>
      <c r="G74" s="1">
        <v>107</v>
      </c>
      <c r="H74" s="1">
        <v>1.87</v>
      </c>
    </row>
    <row r="75" spans="1:8" x14ac:dyDescent="0.35">
      <c r="A75" s="1" t="s">
        <v>94</v>
      </c>
      <c r="B75" s="6">
        <v>44781</v>
      </c>
      <c r="C75" s="1" t="s">
        <v>292</v>
      </c>
      <c r="D75" s="1" t="s">
        <v>18</v>
      </c>
      <c r="E75" s="1" t="s">
        <v>8</v>
      </c>
      <c r="F75" s="1" t="s">
        <v>9</v>
      </c>
      <c r="G75" s="1">
        <v>24</v>
      </c>
      <c r="H75" s="1">
        <v>1.77</v>
      </c>
    </row>
    <row r="76" spans="1:8" x14ac:dyDescent="0.35">
      <c r="A76" s="1" t="s">
        <v>95</v>
      </c>
      <c r="B76" s="6">
        <v>44784</v>
      </c>
      <c r="C76" s="1" t="s">
        <v>292</v>
      </c>
      <c r="D76" s="1" t="s">
        <v>18</v>
      </c>
      <c r="E76" s="1" t="s">
        <v>11</v>
      </c>
      <c r="F76" s="1" t="s">
        <v>12</v>
      </c>
      <c r="G76" s="1">
        <v>30</v>
      </c>
      <c r="H76" s="1">
        <v>3.49</v>
      </c>
    </row>
    <row r="77" spans="1:8" x14ac:dyDescent="0.35">
      <c r="A77" s="1" t="s">
        <v>96</v>
      </c>
      <c r="B77" s="6">
        <v>44787</v>
      </c>
      <c r="C77" s="1" t="s">
        <v>293</v>
      </c>
      <c r="D77" s="1" t="s">
        <v>42</v>
      </c>
      <c r="E77" s="1" t="s">
        <v>15</v>
      </c>
      <c r="F77" s="1" t="s">
        <v>16</v>
      </c>
      <c r="G77" s="1">
        <v>70</v>
      </c>
      <c r="H77" s="1">
        <v>1.87</v>
      </c>
    </row>
    <row r="78" spans="1:8" x14ac:dyDescent="0.35">
      <c r="A78" s="1" t="s">
        <v>97</v>
      </c>
      <c r="B78" s="6">
        <v>44790</v>
      </c>
      <c r="C78" s="1" t="s">
        <v>292</v>
      </c>
      <c r="D78" s="1" t="s">
        <v>7</v>
      </c>
      <c r="E78" s="1" t="s">
        <v>15</v>
      </c>
      <c r="F78" s="1" t="s">
        <v>20</v>
      </c>
      <c r="G78" s="1">
        <v>31</v>
      </c>
      <c r="H78" s="1">
        <v>2.1800000000000002</v>
      </c>
    </row>
    <row r="79" spans="1:8" x14ac:dyDescent="0.35">
      <c r="A79" s="1" t="s">
        <v>98</v>
      </c>
      <c r="B79" s="6">
        <v>44793</v>
      </c>
      <c r="C79" s="1" t="s">
        <v>292</v>
      </c>
      <c r="D79" s="1" t="s">
        <v>7</v>
      </c>
      <c r="E79" s="1" t="s">
        <v>8</v>
      </c>
      <c r="F79" s="1" t="s">
        <v>9</v>
      </c>
      <c r="G79" s="1">
        <v>109</v>
      </c>
      <c r="H79" s="1">
        <v>1.77</v>
      </c>
    </row>
    <row r="80" spans="1:8" x14ac:dyDescent="0.35">
      <c r="A80" s="1" t="s">
        <v>99</v>
      </c>
      <c r="B80" s="6">
        <v>44796</v>
      </c>
      <c r="C80" s="1" t="s">
        <v>292</v>
      </c>
      <c r="D80" s="1" t="s">
        <v>7</v>
      </c>
      <c r="E80" s="1" t="s">
        <v>11</v>
      </c>
      <c r="F80" s="1" t="s">
        <v>12</v>
      </c>
      <c r="G80" s="1">
        <v>21</v>
      </c>
      <c r="H80" s="1">
        <v>3.49</v>
      </c>
    </row>
    <row r="81" spans="1:8" x14ac:dyDescent="0.35">
      <c r="A81" s="1" t="s">
        <v>100</v>
      </c>
      <c r="B81" s="6">
        <v>44799</v>
      </c>
      <c r="C81" s="1" t="s">
        <v>293</v>
      </c>
      <c r="D81" s="1" t="s">
        <v>14</v>
      </c>
      <c r="E81" s="1" t="s">
        <v>15</v>
      </c>
      <c r="F81" s="1" t="s">
        <v>16</v>
      </c>
      <c r="G81" s="1">
        <v>80</v>
      </c>
      <c r="H81" s="1">
        <v>1.87</v>
      </c>
    </row>
    <row r="82" spans="1:8" x14ac:dyDescent="0.35">
      <c r="A82" s="1" t="s">
        <v>101</v>
      </c>
      <c r="B82" s="6">
        <v>44802</v>
      </c>
      <c r="C82" s="1" t="s">
        <v>292</v>
      </c>
      <c r="D82" s="1" t="s">
        <v>18</v>
      </c>
      <c r="E82" s="1" t="s">
        <v>8</v>
      </c>
      <c r="F82" s="1" t="s">
        <v>38</v>
      </c>
      <c r="G82" s="1">
        <v>75</v>
      </c>
      <c r="H82" s="1">
        <v>1.87</v>
      </c>
    </row>
    <row r="83" spans="1:8" x14ac:dyDescent="0.35">
      <c r="A83" s="1" t="s">
        <v>102</v>
      </c>
      <c r="B83" s="6">
        <v>44805</v>
      </c>
      <c r="C83" s="1" t="s">
        <v>292</v>
      </c>
      <c r="D83" s="1" t="s">
        <v>18</v>
      </c>
      <c r="E83" s="1" t="s">
        <v>15</v>
      </c>
      <c r="F83" s="1" t="s">
        <v>36</v>
      </c>
      <c r="G83" s="1">
        <v>74</v>
      </c>
      <c r="H83" s="1">
        <v>2.84</v>
      </c>
    </row>
    <row r="84" spans="1:8" x14ac:dyDescent="0.35">
      <c r="A84" s="1" t="s">
        <v>103</v>
      </c>
      <c r="B84" s="6">
        <v>44808</v>
      </c>
      <c r="C84" s="1" t="s">
        <v>293</v>
      </c>
      <c r="D84" s="1" t="s">
        <v>42</v>
      </c>
      <c r="E84" s="1" t="s">
        <v>8</v>
      </c>
      <c r="F84" s="1" t="s">
        <v>9</v>
      </c>
      <c r="G84" s="1">
        <v>45</v>
      </c>
      <c r="H84" s="1">
        <v>1.77</v>
      </c>
    </row>
    <row r="85" spans="1:8" x14ac:dyDescent="0.35">
      <c r="A85" s="1" t="s">
        <v>104</v>
      </c>
      <c r="B85" s="6">
        <v>44811</v>
      </c>
      <c r="C85" s="1" t="s">
        <v>292</v>
      </c>
      <c r="D85" s="1" t="s">
        <v>7</v>
      </c>
      <c r="E85" s="1" t="s">
        <v>15</v>
      </c>
      <c r="F85" s="1" t="s">
        <v>20</v>
      </c>
      <c r="G85" s="1">
        <v>28</v>
      </c>
      <c r="H85" s="1">
        <v>2.1800000000000002</v>
      </c>
    </row>
    <row r="86" spans="1:8" x14ac:dyDescent="0.35">
      <c r="A86" s="1" t="s">
        <v>105</v>
      </c>
      <c r="B86" s="6">
        <v>44814</v>
      </c>
      <c r="C86" s="1" t="s">
        <v>292</v>
      </c>
      <c r="D86" s="1" t="s">
        <v>7</v>
      </c>
      <c r="E86" s="1" t="s">
        <v>8</v>
      </c>
      <c r="F86" s="1" t="s">
        <v>9</v>
      </c>
      <c r="G86" s="1">
        <v>143</v>
      </c>
      <c r="H86" s="1">
        <v>1.77</v>
      </c>
    </row>
    <row r="87" spans="1:8" x14ac:dyDescent="0.35">
      <c r="A87" s="1" t="s">
        <v>106</v>
      </c>
      <c r="B87" s="6">
        <v>44817</v>
      </c>
      <c r="C87" s="1" t="s">
        <v>292</v>
      </c>
      <c r="D87" s="1" t="s">
        <v>7</v>
      </c>
      <c r="E87" s="1" t="s">
        <v>26</v>
      </c>
      <c r="F87" s="1" t="s">
        <v>107</v>
      </c>
      <c r="G87" s="1">
        <v>27</v>
      </c>
      <c r="H87" s="1">
        <v>3.15</v>
      </c>
    </row>
    <row r="88" spans="1:8" x14ac:dyDescent="0.35">
      <c r="A88" s="1" t="s">
        <v>108</v>
      </c>
      <c r="B88" s="6">
        <v>44820</v>
      </c>
      <c r="C88" s="1" t="s">
        <v>293</v>
      </c>
      <c r="D88" s="1" t="s">
        <v>14</v>
      </c>
      <c r="E88" s="1" t="s">
        <v>8</v>
      </c>
      <c r="F88" s="1" t="s">
        <v>9</v>
      </c>
      <c r="G88" s="1">
        <v>133</v>
      </c>
      <c r="H88" s="1">
        <v>1.77</v>
      </c>
    </row>
    <row r="89" spans="1:8" x14ac:dyDescent="0.35">
      <c r="A89" s="1" t="s">
        <v>109</v>
      </c>
      <c r="B89" s="6">
        <v>44823</v>
      </c>
      <c r="C89" s="1" t="s">
        <v>292</v>
      </c>
      <c r="D89" s="1" t="s">
        <v>18</v>
      </c>
      <c r="E89" s="1" t="s">
        <v>15</v>
      </c>
      <c r="F89" s="1" t="s">
        <v>20</v>
      </c>
      <c r="G89" s="1">
        <v>110</v>
      </c>
      <c r="H89" s="1">
        <v>2.1800000000000002</v>
      </c>
    </row>
    <row r="90" spans="1:8" x14ac:dyDescent="0.35">
      <c r="A90" s="1" t="s">
        <v>110</v>
      </c>
      <c r="B90" s="6">
        <v>44826</v>
      </c>
      <c r="C90" s="1" t="s">
        <v>292</v>
      </c>
      <c r="D90" s="1" t="s">
        <v>18</v>
      </c>
      <c r="E90" s="1" t="s">
        <v>15</v>
      </c>
      <c r="F90" s="1" t="s">
        <v>16</v>
      </c>
      <c r="G90" s="1">
        <v>65</v>
      </c>
      <c r="H90" s="1">
        <v>1.87</v>
      </c>
    </row>
    <row r="91" spans="1:8" x14ac:dyDescent="0.35">
      <c r="A91" s="1" t="s">
        <v>111</v>
      </c>
      <c r="B91" s="6">
        <v>44829</v>
      </c>
      <c r="C91" s="1" t="s">
        <v>293</v>
      </c>
      <c r="D91" s="1" t="s">
        <v>42</v>
      </c>
      <c r="E91" s="1" t="s">
        <v>8</v>
      </c>
      <c r="F91" s="1" t="s">
        <v>38</v>
      </c>
      <c r="G91" s="1">
        <v>33</v>
      </c>
      <c r="H91" s="1">
        <v>1.87</v>
      </c>
    </row>
    <row r="92" spans="1:8" x14ac:dyDescent="0.35">
      <c r="A92" s="1" t="s">
        <v>112</v>
      </c>
      <c r="B92" s="6">
        <v>44832</v>
      </c>
      <c r="C92" s="1" t="s">
        <v>292</v>
      </c>
      <c r="D92" s="1" t="s">
        <v>7</v>
      </c>
      <c r="E92" s="1" t="s">
        <v>15</v>
      </c>
      <c r="F92" s="1" t="s">
        <v>20</v>
      </c>
      <c r="G92" s="1">
        <v>81</v>
      </c>
      <c r="H92" s="1">
        <v>2.1800000000000002</v>
      </c>
    </row>
    <row r="93" spans="1:8" x14ac:dyDescent="0.35">
      <c r="A93" s="1" t="s">
        <v>113</v>
      </c>
      <c r="B93" s="6">
        <v>44835</v>
      </c>
      <c r="C93" s="1" t="s">
        <v>292</v>
      </c>
      <c r="D93" s="1" t="s">
        <v>7</v>
      </c>
      <c r="E93" s="1" t="s">
        <v>8</v>
      </c>
      <c r="F93" s="1" t="s">
        <v>9</v>
      </c>
      <c r="G93" s="1">
        <v>77</v>
      </c>
      <c r="H93" s="1">
        <v>1.77</v>
      </c>
    </row>
    <row r="94" spans="1:8" x14ac:dyDescent="0.35">
      <c r="A94" s="1" t="s">
        <v>114</v>
      </c>
      <c r="B94" s="6">
        <v>44838</v>
      </c>
      <c r="C94" s="1" t="s">
        <v>292</v>
      </c>
      <c r="D94" s="1" t="s">
        <v>7</v>
      </c>
      <c r="E94" s="1" t="s">
        <v>11</v>
      </c>
      <c r="F94" s="1" t="s">
        <v>12</v>
      </c>
      <c r="G94" s="1">
        <v>38</v>
      </c>
      <c r="H94" s="1">
        <v>3.49</v>
      </c>
    </row>
    <row r="95" spans="1:8" x14ac:dyDescent="0.35">
      <c r="A95" s="1" t="s">
        <v>115</v>
      </c>
      <c r="B95" s="6">
        <v>44841</v>
      </c>
      <c r="C95" s="1" t="s">
        <v>293</v>
      </c>
      <c r="D95" s="1" t="s">
        <v>14</v>
      </c>
      <c r="E95" s="1" t="s">
        <v>8</v>
      </c>
      <c r="F95" s="1" t="s">
        <v>9</v>
      </c>
      <c r="G95" s="1">
        <v>40</v>
      </c>
      <c r="H95" s="1">
        <v>1.77</v>
      </c>
    </row>
    <row r="96" spans="1:8" x14ac:dyDescent="0.35">
      <c r="A96" s="1" t="s">
        <v>116</v>
      </c>
      <c r="B96" s="6">
        <v>44844</v>
      </c>
      <c r="C96" s="1" t="s">
        <v>293</v>
      </c>
      <c r="D96" s="1" t="s">
        <v>14</v>
      </c>
      <c r="E96" s="1" t="s">
        <v>26</v>
      </c>
      <c r="F96" s="1" t="s">
        <v>27</v>
      </c>
      <c r="G96" s="1">
        <v>114</v>
      </c>
      <c r="H96" s="1">
        <v>1.68</v>
      </c>
    </row>
    <row r="97" spans="1:8" x14ac:dyDescent="0.35">
      <c r="A97" s="1" t="s">
        <v>117</v>
      </c>
      <c r="B97" s="6">
        <v>44847</v>
      </c>
      <c r="C97" s="1" t="s">
        <v>292</v>
      </c>
      <c r="D97" s="1" t="s">
        <v>18</v>
      </c>
      <c r="E97" s="1" t="s">
        <v>15</v>
      </c>
      <c r="F97" s="1" t="s">
        <v>20</v>
      </c>
      <c r="G97" s="1">
        <v>224</v>
      </c>
      <c r="H97" s="1">
        <v>2.1800000000000002</v>
      </c>
    </row>
    <row r="98" spans="1:8" x14ac:dyDescent="0.35">
      <c r="A98" s="1" t="s">
        <v>118</v>
      </c>
      <c r="B98" s="6">
        <v>44850</v>
      </c>
      <c r="C98" s="1" t="s">
        <v>292</v>
      </c>
      <c r="D98" s="1" t="s">
        <v>18</v>
      </c>
      <c r="E98" s="1" t="s">
        <v>8</v>
      </c>
      <c r="F98" s="1" t="s">
        <v>9</v>
      </c>
      <c r="G98" s="1">
        <v>141</v>
      </c>
      <c r="H98" s="1">
        <v>1.77</v>
      </c>
    </row>
    <row r="99" spans="1:8" x14ac:dyDescent="0.35">
      <c r="A99" s="1" t="s">
        <v>119</v>
      </c>
      <c r="B99" s="6">
        <v>44853</v>
      </c>
      <c r="C99" s="1" t="s">
        <v>292</v>
      </c>
      <c r="D99" s="1" t="s">
        <v>18</v>
      </c>
      <c r="E99" s="1" t="s">
        <v>11</v>
      </c>
      <c r="F99" s="1" t="s">
        <v>12</v>
      </c>
      <c r="G99" s="1">
        <v>32</v>
      </c>
      <c r="H99" s="1">
        <v>3.49</v>
      </c>
    </row>
    <row r="100" spans="1:8" x14ac:dyDescent="0.35">
      <c r="A100" s="1" t="s">
        <v>120</v>
      </c>
      <c r="B100" s="6">
        <v>44856</v>
      </c>
      <c r="C100" s="1" t="s">
        <v>293</v>
      </c>
      <c r="D100" s="1" t="s">
        <v>42</v>
      </c>
      <c r="E100" s="1" t="s">
        <v>8</v>
      </c>
      <c r="F100" s="1" t="s">
        <v>9</v>
      </c>
      <c r="G100" s="1">
        <v>20</v>
      </c>
      <c r="H100" s="1">
        <v>1.77</v>
      </c>
    </row>
    <row r="101" spans="1:8" x14ac:dyDescent="0.35">
      <c r="A101" s="1" t="s">
        <v>121</v>
      </c>
      <c r="B101" s="6">
        <v>44859</v>
      </c>
      <c r="C101" s="1" t="s">
        <v>292</v>
      </c>
      <c r="D101" s="1" t="s">
        <v>7</v>
      </c>
      <c r="E101" s="1" t="s">
        <v>15</v>
      </c>
      <c r="F101" s="1" t="s">
        <v>20</v>
      </c>
      <c r="G101" s="1">
        <v>40</v>
      </c>
      <c r="H101" s="1">
        <v>2.1800000000000002</v>
      </c>
    </row>
    <row r="102" spans="1:8" x14ac:dyDescent="0.35">
      <c r="A102" s="1" t="s">
        <v>122</v>
      </c>
      <c r="B102" s="6">
        <v>44862</v>
      </c>
      <c r="C102" s="1" t="s">
        <v>292</v>
      </c>
      <c r="D102" s="1" t="s">
        <v>7</v>
      </c>
      <c r="E102" s="1" t="s">
        <v>15</v>
      </c>
      <c r="F102" s="1" t="s">
        <v>16</v>
      </c>
      <c r="G102" s="1">
        <v>49</v>
      </c>
      <c r="H102" s="1">
        <v>1.87</v>
      </c>
    </row>
    <row r="103" spans="1:8" x14ac:dyDescent="0.35">
      <c r="A103" s="1" t="s">
        <v>123</v>
      </c>
      <c r="B103" s="6">
        <v>44865</v>
      </c>
      <c r="C103" s="1" t="s">
        <v>292</v>
      </c>
      <c r="D103" s="1" t="s">
        <v>7</v>
      </c>
      <c r="E103" s="1" t="s">
        <v>11</v>
      </c>
      <c r="F103" s="1" t="s">
        <v>12</v>
      </c>
      <c r="G103" s="1">
        <v>46</v>
      </c>
      <c r="H103" s="1">
        <v>3.49</v>
      </c>
    </row>
    <row r="104" spans="1:8" x14ac:dyDescent="0.35">
      <c r="A104" s="1" t="s">
        <v>124</v>
      </c>
      <c r="B104" s="6">
        <v>44868</v>
      </c>
      <c r="C104" s="1" t="s">
        <v>293</v>
      </c>
      <c r="D104" s="1" t="s">
        <v>14</v>
      </c>
      <c r="E104" s="1" t="s">
        <v>8</v>
      </c>
      <c r="F104" s="1" t="s">
        <v>9</v>
      </c>
      <c r="G104" s="1">
        <v>39</v>
      </c>
      <c r="H104" s="1">
        <v>1.77</v>
      </c>
    </row>
    <row r="105" spans="1:8" x14ac:dyDescent="0.35">
      <c r="A105" s="1" t="s">
        <v>125</v>
      </c>
      <c r="B105" s="6">
        <v>44871</v>
      </c>
      <c r="C105" s="1" t="s">
        <v>293</v>
      </c>
      <c r="D105" s="1" t="s">
        <v>14</v>
      </c>
      <c r="E105" s="1" t="s">
        <v>26</v>
      </c>
      <c r="F105" s="1" t="s">
        <v>27</v>
      </c>
      <c r="G105" s="1">
        <v>62</v>
      </c>
      <c r="H105" s="1">
        <v>1.68</v>
      </c>
    </row>
    <row r="106" spans="1:8" x14ac:dyDescent="0.35">
      <c r="A106" s="1" t="s">
        <v>126</v>
      </c>
      <c r="B106" s="6">
        <v>44874</v>
      </c>
      <c r="C106" s="1" t="s">
        <v>292</v>
      </c>
      <c r="D106" s="1" t="s">
        <v>18</v>
      </c>
      <c r="E106" s="1" t="s">
        <v>8</v>
      </c>
      <c r="F106" s="1" t="s">
        <v>9</v>
      </c>
      <c r="G106" s="1">
        <v>90</v>
      </c>
      <c r="H106" s="1">
        <v>1.77</v>
      </c>
    </row>
    <row r="107" spans="1:8" x14ac:dyDescent="0.35">
      <c r="A107" s="1" t="s">
        <v>127</v>
      </c>
      <c r="B107" s="6">
        <v>44877</v>
      </c>
      <c r="C107" s="1" t="s">
        <v>293</v>
      </c>
      <c r="D107" s="1" t="s">
        <v>42</v>
      </c>
      <c r="E107" s="1" t="s">
        <v>15</v>
      </c>
      <c r="F107" s="1" t="s">
        <v>20</v>
      </c>
      <c r="G107" s="1">
        <v>103</v>
      </c>
      <c r="H107" s="1">
        <v>2.1800000000000002</v>
      </c>
    </row>
    <row r="108" spans="1:8" x14ac:dyDescent="0.35">
      <c r="A108" s="1" t="s">
        <v>128</v>
      </c>
      <c r="B108" s="6">
        <v>44880</v>
      </c>
      <c r="C108" s="1" t="s">
        <v>293</v>
      </c>
      <c r="D108" s="1" t="s">
        <v>42</v>
      </c>
      <c r="E108" s="1" t="s">
        <v>15</v>
      </c>
      <c r="F108" s="1" t="s">
        <v>36</v>
      </c>
      <c r="G108" s="1">
        <v>32</v>
      </c>
      <c r="H108" s="1">
        <v>2.84</v>
      </c>
    </row>
    <row r="109" spans="1:8" x14ac:dyDescent="0.35">
      <c r="A109" s="1" t="s">
        <v>129</v>
      </c>
      <c r="B109" s="6">
        <v>44883</v>
      </c>
      <c r="C109" s="1" t="s">
        <v>292</v>
      </c>
      <c r="D109" s="1" t="s">
        <v>7</v>
      </c>
      <c r="E109" s="1" t="s">
        <v>8</v>
      </c>
      <c r="F109" s="1" t="s">
        <v>38</v>
      </c>
      <c r="G109" s="1">
        <v>66</v>
      </c>
      <c r="H109" s="1">
        <v>1.87</v>
      </c>
    </row>
    <row r="110" spans="1:8" x14ac:dyDescent="0.35">
      <c r="A110" s="1" t="s">
        <v>130</v>
      </c>
      <c r="B110" s="6">
        <v>44886</v>
      </c>
      <c r="C110" s="1" t="s">
        <v>292</v>
      </c>
      <c r="D110" s="1" t="s">
        <v>7</v>
      </c>
      <c r="E110" s="1" t="s">
        <v>15</v>
      </c>
      <c r="F110" s="1" t="s">
        <v>36</v>
      </c>
      <c r="G110" s="1">
        <v>97</v>
      </c>
      <c r="H110" s="1">
        <v>2.84</v>
      </c>
    </row>
    <row r="111" spans="1:8" x14ac:dyDescent="0.35">
      <c r="A111" s="1" t="s">
        <v>131</v>
      </c>
      <c r="B111" s="6">
        <v>44889</v>
      </c>
      <c r="C111" s="1" t="s">
        <v>293</v>
      </c>
      <c r="D111" s="1" t="s">
        <v>14</v>
      </c>
      <c r="E111" s="1" t="s">
        <v>8</v>
      </c>
      <c r="F111" s="1" t="s">
        <v>9</v>
      </c>
      <c r="G111" s="1">
        <v>30</v>
      </c>
      <c r="H111" s="1">
        <v>1.77</v>
      </c>
    </row>
    <row r="112" spans="1:8" x14ac:dyDescent="0.35">
      <c r="A112" s="1" t="s">
        <v>132</v>
      </c>
      <c r="B112" s="6">
        <v>44892</v>
      </c>
      <c r="C112" s="1" t="s">
        <v>293</v>
      </c>
      <c r="D112" s="1" t="s">
        <v>14</v>
      </c>
      <c r="E112" s="1" t="s">
        <v>26</v>
      </c>
      <c r="F112" s="1" t="s">
        <v>27</v>
      </c>
      <c r="G112" s="1">
        <v>29</v>
      </c>
      <c r="H112" s="1">
        <v>1.68</v>
      </c>
    </row>
    <row r="113" spans="1:8" x14ac:dyDescent="0.35">
      <c r="A113" s="1" t="s">
        <v>133</v>
      </c>
      <c r="B113" s="6">
        <v>44895</v>
      </c>
      <c r="C113" s="1" t="s">
        <v>292</v>
      </c>
      <c r="D113" s="1" t="s">
        <v>18</v>
      </c>
      <c r="E113" s="1" t="s">
        <v>8</v>
      </c>
      <c r="F113" s="1" t="s">
        <v>9</v>
      </c>
      <c r="G113" s="1">
        <v>92</v>
      </c>
      <c r="H113" s="1">
        <v>1.77</v>
      </c>
    </row>
    <row r="114" spans="1:8" x14ac:dyDescent="0.35">
      <c r="A114" s="1" t="s">
        <v>134</v>
      </c>
      <c r="B114" s="6">
        <v>44898</v>
      </c>
      <c r="C114" s="1" t="s">
        <v>293</v>
      </c>
      <c r="D114" s="1" t="s">
        <v>42</v>
      </c>
      <c r="E114" s="1" t="s">
        <v>15</v>
      </c>
      <c r="F114" s="1" t="s">
        <v>20</v>
      </c>
      <c r="G114" s="1">
        <v>139</v>
      </c>
      <c r="H114" s="1">
        <v>2.1800000000000002</v>
      </c>
    </row>
    <row r="115" spans="1:8" x14ac:dyDescent="0.35">
      <c r="A115" s="1" t="s">
        <v>135</v>
      </c>
      <c r="B115" s="6">
        <v>44901</v>
      </c>
      <c r="C115" s="1" t="s">
        <v>293</v>
      </c>
      <c r="D115" s="1" t="s">
        <v>42</v>
      </c>
      <c r="E115" s="1" t="s">
        <v>15</v>
      </c>
      <c r="F115" s="1" t="s">
        <v>36</v>
      </c>
      <c r="G115" s="1">
        <v>29</v>
      </c>
      <c r="H115" s="1">
        <v>2.84</v>
      </c>
    </row>
    <row r="116" spans="1:8" x14ac:dyDescent="0.35">
      <c r="A116" s="1" t="s">
        <v>136</v>
      </c>
      <c r="B116" s="6">
        <v>44904</v>
      </c>
      <c r="C116" s="1" t="s">
        <v>292</v>
      </c>
      <c r="D116" s="1" t="s">
        <v>7</v>
      </c>
      <c r="E116" s="1" t="s">
        <v>8</v>
      </c>
      <c r="F116" s="1" t="s">
        <v>137</v>
      </c>
      <c r="G116" s="1">
        <v>30</v>
      </c>
      <c r="H116" s="1">
        <v>2.27</v>
      </c>
    </row>
    <row r="117" spans="1:8" x14ac:dyDescent="0.35">
      <c r="A117" s="1" t="s">
        <v>138</v>
      </c>
      <c r="B117" s="6">
        <v>44907</v>
      </c>
      <c r="C117" s="1" t="s">
        <v>292</v>
      </c>
      <c r="D117" s="1" t="s">
        <v>7</v>
      </c>
      <c r="E117" s="1" t="s">
        <v>15</v>
      </c>
      <c r="F117" s="1" t="s">
        <v>16</v>
      </c>
      <c r="G117" s="1">
        <v>36</v>
      </c>
      <c r="H117" s="1">
        <v>1.87</v>
      </c>
    </row>
    <row r="118" spans="1:8" x14ac:dyDescent="0.35">
      <c r="A118" s="1" t="s">
        <v>139</v>
      </c>
      <c r="B118" s="6">
        <v>44910</v>
      </c>
      <c r="C118" s="1" t="s">
        <v>292</v>
      </c>
      <c r="D118" s="1" t="s">
        <v>7</v>
      </c>
      <c r="E118" s="1" t="s">
        <v>11</v>
      </c>
      <c r="F118" s="1" t="s">
        <v>12</v>
      </c>
      <c r="G118" s="1">
        <v>41</v>
      </c>
      <c r="H118" s="1">
        <v>3.49</v>
      </c>
    </row>
    <row r="119" spans="1:8" x14ac:dyDescent="0.35">
      <c r="A119" s="1" t="s">
        <v>140</v>
      </c>
      <c r="B119" s="6">
        <v>44913</v>
      </c>
      <c r="C119" s="1" t="s">
        <v>293</v>
      </c>
      <c r="D119" s="1" t="s">
        <v>14</v>
      </c>
      <c r="E119" s="1" t="s">
        <v>8</v>
      </c>
      <c r="F119" s="1" t="s">
        <v>9</v>
      </c>
      <c r="G119" s="1">
        <v>44</v>
      </c>
      <c r="H119" s="1">
        <v>1.77</v>
      </c>
    </row>
    <row r="120" spans="1:8" x14ac:dyDescent="0.35">
      <c r="A120" s="1" t="s">
        <v>141</v>
      </c>
      <c r="B120" s="6">
        <v>44916</v>
      </c>
      <c r="C120" s="1" t="s">
        <v>293</v>
      </c>
      <c r="D120" s="1" t="s">
        <v>14</v>
      </c>
      <c r="E120" s="1" t="s">
        <v>26</v>
      </c>
      <c r="F120" s="1" t="s">
        <v>27</v>
      </c>
      <c r="G120" s="1">
        <v>29</v>
      </c>
      <c r="H120" s="1">
        <v>1.68</v>
      </c>
    </row>
    <row r="121" spans="1:8" x14ac:dyDescent="0.35">
      <c r="A121" s="1" t="s">
        <v>142</v>
      </c>
      <c r="B121" s="6">
        <v>44919</v>
      </c>
      <c r="C121" s="1" t="s">
        <v>292</v>
      </c>
      <c r="D121" s="1" t="s">
        <v>18</v>
      </c>
      <c r="E121" s="1" t="s">
        <v>15</v>
      </c>
      <c r="F121" s="1" t="s">
        <v>20</v>
      </c>
      <c r="G121" s="1">
        <v>237</v>
      </c>
      <c r="H121" s="1">
        <v>2.1800000000000002</v>
      </c>
    </row>
    <row r="122" spans="1:8" x14ac:dyDescent="0.35">
      <c r="A122" s="1" t="s">
        <v>143</v>
      </c>
      <c r="B122" s="6">
        <v>44922</v>
      </c>
      <c r="C122" s="1" t="s">
        <v>292</v>
      </c>
      <c r="D122" s="1" t="s">
        <v>18</v>
      </c>
      <c r="E122" s="1" t="s">
        <v>15</v>
      </c>
      <c r="F122" s="1" t="s">
        <v>16</v>
      </c>
      <c r="G122" s="1">
        <v>65</v>
      </c>
      <c r="H122" s="1">
        <v>1.87</v>
      </c>
    </row>
    <row r="123" spans="1:8" x14ac:dyDescent="0.35">
      <c r="A123" s="1" t="s">
        <v>144</v>
      </c>
      <c r="B123" s="6">
        <v>44925</v>
      </c>
      <c r="C123" s="1" t="s">
        <v>293</v>
      </c>
      <c r="D123" s="1" t="s">
        <v>42</v>
      </c>
      <c r="E123" s="1" t="s">
        <v>15</v>
      </c>
      <c r="F123" s="1" t="s">
        <v>20</v>
      </c>
      <c r="G123" s="1">
        <v>83</v>
      </c>
      <c r="H123" s="1">
        <v>2.1800000000000002</v>
      </c>
    </row>
    <row r="124" spans="1:8" x14ac:dyDescent="0.35">
      <c r="A124" s="1" t="s">
        <v>145</v>
      </c>
      <c r="B124" s="6">
        <v>44928</v>
      </c>
      <c r="C124" s="1" t="s">
        <v>292</v>
      </c>
      <c r="D124" s="1" t="s">
        <v>7</v>
      </c>
      <c r="E124" s="1" t="s">
        <v>15</v>
      </c>
      <c r="F124" s="1" t="s">
        <v>20</v>
      </c>
      <c r="G124" s="1">
        <v>32</v>
      </c>
      <c r="H124" s="1">
        <v>2.1800000000000002</v>
      </c>
    </row>
    <row r="125" spans="1:8" x14ac:dyDescent="0.35">
      <c r="A125" s="1" t="s">
        <v>146</v>
      </c>
      <c r="B125" s="6">
        <v>44931</v>
      </c>
      <c r="C125" s="1" t="s">
        <v>292</v>
      </c>
      <c r="D125" s="1" t="s">
        <v>7</v>
      </c>
      <c r="E125" s="1" t="s">
        <v>8</v>
      </c>
      <c r="F125" s="1" t="s">
        <v>9</v>
      </c>
      <c r="G125" s="1">
        <v>63</v>
      </c>
      <c r="H125" s="1">
        <v>1.77</v>
      </c>
    </row>
    <row r="126" spans="1:8" x14ac:dyDescent="0.35">
      <c r="A126" s="1" t="s">
        <v>147</v>
      </c>
      <c r="B126" s="6">
        <v>44934</v>
      </c>
      <c r="C126" s="1" t="s">
        <v>292</v>
      </c>
      <c r="D126" s="1" t="s">
        <v>7</v>
      </c>
      <c r="E126" s="1" t="s">
        <v>26</v>
      </c>
      <c r="F126" s="1" t="s">
        <v>107</v>
      </c>
      <c r="G126" s="1">
        <v>29</v>
      </c>
      <c r="H126" s="1">
        <v>3.15</v>
      </c>
    </row>
    <row r="127" spans="1:8" x14ac:dyDescent="0.35">
      <c r="A127" s="1" t="s">
        <v>148</v>
      </c>
      <c r="B127" s="6">
        <v>44937</v>
      </c>
      <c r="C127" s="1" t="s">
        <v>293</v>
      </c>
      <c r="D127" s="1" t="s">
        <v>14</v>
      </c>
      <c r="E127" s="1" t="s">
        <v>8</v>
      </c>
      <c r="F127" s="1" t="s">
        <v>38</v>
      </c>
      <c r="G127" s="1">
        <v>77</v>
      </c>
      <c r="H127" s="1">
        <v>1.87</v>
      </c>
    </row>
    <row r="128" spans="1:8" x14ac:dyDescent="0.35">
      <c r="A128" s="1" t="s">
        <v>149</v>
      </c>
      <c r="B128" s="6">
        <v>44940</v>
      </c>
      <c r="C128" s="1" t="s">
        <v>293</v>
      </c>
      <c r="D128" s="1" t="s">
        <v>14</v>
      </c>
      <c r="E128" s="1" t="s">
        <v>15</v>
      </c>
      <c r="F128" s="1" t="s">
        <v>36</v>
      </c>
      <c r="G128" s="1">
        <v>80</v>
      </c>
      <c r="H128" s="1">
        <v>2.84</v>
      </c>
    </row>
    <row r="129" spans="1:8" x14ac:dyDescent="0.35">
      <c r="A129" s="1" t="s">
        <v>150</v>
      </c>
      <c r="B129" s="6">
        <v>44943</v>
      </c>
      <c r="C129" s="1" t="s">
        <v>292</v>
      </c>
      <c r="D129" s="1" t="s">
        <v>18</v>
      </c>
      <c r="E129" s="1" t="s">
        <v>8</v>
      </c>
      <c r="F129" s="1" t="s">
        <v>9</v>
      </c>
      <c r="G129" s="1">
        <v>102</v>
      </c>
      <c r="H129" s="1">
        <v>1.77</v>
      </c>
    </row>
    <row r="130" spans="1:8" x14ac:dyDescent="0.35">
      <c r="A130" s="1" t="s">
        <v>151</v>
      </c>
      <c r="B130" s="6">
        <v>44946</v>
      </c>
      <c r="C130" s="1" t="s">
        <v>292</v>
      </c>
      <c r="D130" s="1" t="s">
        <v>18</v>
      </c>
      <c r="E130" s="1" t="s">
        <v>11</v>
      </c>
      <c r="F130" s="1" t="s">
        <v>12</v>
      </c>
      <c r="G130" s="1">
        <v>31</v>
      </c>
      <c r="H130" s="1">
        <v>3.49</v>
      </c>
    </row>
    <row r="131" spans="1:8" x14ac:dyDescent="0.35">
      <c r="A131" s="1" t="s">
        <v>152</v>
      </c>
      <c r="B131" s="6">
        <v>44949</v>
      </c>
      <c r="C131" s="1" t="s">
        <v>293</v>
      </c>
      <c r="D131" s="1" t="s">
        <v>42</v>
      </c>
      <c r="E131" s="1" t="s">
        <v>8</v>
      </c>
      <c r="F131" s="1" t="s">
        <v>9</v>
      </c>
      <c r="G131" s="1">
        <v>56</v>
      </c>
      <c r="H131" s="1">
        <v>1.77</v>
      </c>
    </row>
    <row r="132" spans="1:8" x14ac:dyDescent="0.35">
      <c r="A132" s="1" t="s">
        <v>153</v>
      </c>
      <c r="B132" s="6">
        <v>44952</v>
      </c>
      <c r="C132" s="1" t="s">
        <v>292</v>
      </c>
      <c r="D132" s="1" t="s">
        <v>7</v>
      </c>
      <c r="E132" s="1" t="s">
        <v>15</v>
      </c>
      <c r="F132" s="1" t="s">
        <v>20</v>
      </c>
      <c r="G132" s="1">
        <v>52</v>
      </c>
      <c r="H132" s="1">
        <v>2.1800000000000002</v>
      </c>
    </row>
    <row r="133" spans="1:8" x14ac:dyDescent="0.35">
      <c r="A133" s="1" t="s">
        <v>154</v>
      </c>
      <c r="B133" s="6">
        <v>44955</v>
      </c>
      <c r="C133" s="1" t="s">
        <v>292</v>
      </c>
      <c r="D133" s="1" t="s">
        <v>7</v>
      </c>
      <c r="E133" s="1" t="s">
        <v>8</v>
      </c>
      <c r="F133" s="1" t="s">
        <v>9</v>
      </c>
      <c r="G133" s="1">
        <v>51</v>
      </c>
      <c r="H133" s="1">
        <v>1.77</v>
      </c>
    </row>
    <row r="134" spans="1:8" x14ac:dyDescent="0.35">
      <c r="A134" s="1" t="s">
        <v>155</v>
      </c>
      <c r="B134" s="6">
        <v>44958</v>
      </c>
      <c r="C134" s="1" t="s">
        <v>292</v>
      </c>
      <c r="D134" s="1" t="s">
        <v>7</v>
      </c>
      <c r="E134" s="1" t="s">
        <v>26</v>
      </c>
      <c r="F134" s="1" t="s">
        <v>27</v>
      </c>
      <c r="G134" s="1">
        <v>24</v>
      </c>
      <c r="H134" s="1">
        <v>1.68</v>
      </c>
    </row>
    <row r="135" spans="1:8" x14ac:dyDescent="0.35">
      <c r="A135" s="1" t="s">
        <v>156</v>
      </c>
      <c r="B135" s="6">
        <v>44961</v>
      </c>
      <c r="C135" s="1" t="s">
        <v>293</v>
      </c>
      <c r="D135" s="1" t="s">
        <v>14</v>
      </c>
      <c r="E135" s="1" t="s">
        <v>15</v>
      </c>
      <c r="F135" s="1" t="s">
        <v>20</v>
      </c>
      <c r="G135" s="1">
        <v>58</v>
      </c>
      <c r="H135" s="1">
        <v>2.1800000000000002</v>
      </c>
    </row>
    <row r="136" spans="1:8" x14ac:dyDescent="0.35">
      <c r="A136" s="1" t="s">
        <v>157</v>
      </c>
      <c r="B136" s="6">
        <v>44964</v>
      </c>
      <c r="C136" s="1" t="s">
        <v>293</v>
      </c>
      <c r="D136" s="1" t="s">
        <v>14</v>
      </c>
      <c r="E136" s="1" t="s">
        <v>15</v>
      </c>
      <c r="F136" s="1" t="s">
        <v>16</v>
      </c>
      <c r="G136" s="1">
        <v>34</v>
      </c>
      <c r="H136" s="1">
        <v>1.87</v>
      </c>
    </row>
    <row r="137" spans="1:8" x14ac:dyDescent="0.35">
      <c r="A137" s="1" t="s">
        <v>158</v>
      </c>
      <c r="B137" s="6">
        <v>44967</v>
      </c>
      <c r="C137" s="1" t="s">
        <v>292</v>
      </c>
      <c r="D137" s="1" t="s">
        <v>18</v>
      </c>
      <c r="E137" s="1" t="s">
        <v>8</v>
      </c>
      <c r="F137" s="1" t="s">
        <v>9</v>
      </c>
      <c r="G137" s="1">
        <v>34</v>
      </c>
      <c r="H137" s="1">
        <v>1.77</v>
      </c>
    </row>
    <row r="138" spans="1:8" x14ac:dyDescent="0.35">
      <c r="A138" s="1" t="s">
        <v>159</v>
      </c>
      <c r="B138" s="6">
        <v>44970</v>
      </c>
      <c r="C138" s="1" t="s">
        <v>292</v>
      </c>
      <c r="D138" s="1" t="s">
        <v>18</v>
      </c>
      <c r="E138" s="1" t="s">
        <v>26</v>
      </c>
      <c r="F138" s="1" t="s">
        <v>27</v>
      </c>
      <c r="G138" s="1">
        <v>21</v>
      </c>
      <c r="H138" s="1">
        <v>1.68</v>
      </c>
    </row>
    <row r="139" spans="1:8" x14ac:dyDescent="0.35">
      <c r="A139" s="1" t="s">
        <v>160</v>
      </c>
      <c r="B139" s="6">
        <v>44973</v>
      </c>
      <c r="C139" s="1" t="s">
        <v>293</v>
      </c>
      <c r="D139" s="1" t="s">
        <v>42</v>
      </c>
      <c r="E139" s="1" t="s">
        <v>15</v>
      </c>
      <c r="F139" s="1" t="s">
        <v>36</v>
      </c>
      <c r="G139" s="1">
        <v>29</v>
      </c>
      <c r="H139" s="1">
        <v>2.84</v>
      </c>
    </row>
    <row r="140" spans="1:8" x14ac:dyDescent="0.35">
      <c r="A140" s="1" t="s">
        <v>161</v>
      </c>
      <c r="B140" s="6">
        <v>44976</v>
      </c>
      <c r="C140" s="1" t="s">
        <v>292</v>
      </c>
      <c r="D140" s="1" t="s">
        <v>7</v>
      </c>
      <c r="E140" s="1" t="s">
        <v>8</v>
      </c>
      <c r="F140" s="1" t="s">
        <v>9</v>
      </c>
      <c r="G140" s="1">
        <v>68</v>
      </c>
      <c r="H140" s="1">
        <v>1.77</v>
      </c>
    </row>
    <row r="141" spans="1:8" x14ac:dyDescent="0.35">
      <c r="A141" s="1" t="s">
        <v>162</v>
      </c>
      <c r="B141" s="6">
        <v>44979</v>
      </c>
      <c r="C141" s="1" t="s">
        <v>292</v>
      </c>
      <c r="D141" s="1" t="s">
        <v>7</v>
      </c>
      <c r="E141" s="1" t="s">
        <v>26</v>
      </c>
      <c r="F141" s="1" t="s">
        <v>107</v>
      </c>
      <c r="G141" s="1">
        <v>31</v>
      </c>
      <c r="H141" s="1">
        <v>3.15</v>
      </c>
    </row>
    <row r="142" spans="1:8" x14ac:dyDescent="0.35">
      <c r="A142" s="1" t="s">
        <v>163</v>
      </c>
      <c r="B142" s="6">
        <v>44982</v>
      </c>
      <c r="C142" s="1" t="s">
        <v>293</v>
      </c>
      <c r="D142" s="1" t="s">
        <v>14</v>
      </c>
      <c r="E142" s="1" t="s">
        <v>15</v>
      </c>
      <c r="F142" s="1" t="s">
        <v>20</v>
      </c>
      <c r="G142" s="1">
        <v>30</v>
      </c>
      <c r="H142" s="1">
        <v>2.1800000000000002</v>
      </c>
    </row>
    <row r="143" spans="1:8" x14ac:dyDescent="0.35">
      <c r="A143" s="1" t="s">
        <v>164</v>
      </c>
      <c r="B143" s="6">
        <v>44985</v>
      </c>
      <c r="C143" s="1" t="s">
        <v>293</v>
      </c>
      <c r="D143" s="1" t="s">
        <v>14</v>
      </c>
      <c r="E143" s="1" t="s">
        <v>15</v>
      </c>
      <c r="F143" s="1" t="s">
        <v>16</v>
      </c>
      <c r="G143" s="1">
        <v>232</v>
      </c>
      <c r="H143" s="1">
        <v>1.87</v>
      </c>
    </row>
    <row r="144" spans="1:8" x14ac:dyDescent="0.35">
      <c r="A144" s="1" t="s">
        <v>165</v>
      </c>
      <c r="B144" s="6">
        <v>44987</v>
      </c>
      <c r="C144" s="1" t="s">
        <v>292</v>
      </c>
      <c r="D144" s="1" t="s">
        <v>18</v>
      </c>
      <c r="E144" s="1" t="s">
        <v>8</v>
      </c>
      <c r="F144" s="1" t="s">
        <v>38</v>
      </c>
      <c r="G144" s="1">
        <v>68</v>
      </c>
      <c r="H144" s="1">
        <v>1.87</v>
      </c>
    </row>
    <row r="145" spans="1:8" x14ac:dyDescent="0.35">
      <c r="A145" s="1" t="s">
        <v>166</v>
      </c>
      <c r="B145" s="6">
        <v>44990</v>
      </c>
      <c r="C145" s="1" t="s">
        <v>292</v>
      </c>
      <c r="D145" s="1" t="s">
        <v>18</v>
      </c>
      <c r="E145" s="1" t="s">
        <v>15</v>
      </c>
      <c r="F145" s="1" t="s">
        <v>36</v>
      </c>
      <c r="G145" s="1">
        <v>97</v>
      </c>
      <c r="H145" s="1">
        <v>2.84</v>
      </c>
    </row>
    <row r="146" spans="1:8" x14ac:dyDescent="0.35">
      <c r="A146" s="1" t="s">
        <v>167</v>
      </c>
      <c r="B146" s="6">
        <v>44993</v>
      </c>
      <c r="C146" s="1" t="s">
        <v>293</v>
      </c>
      <c r="D146" s="1" t="s">
        <v>42</v>
      </c>
      <c r="E146" s="1" t="s">
        <v>8</v>
      </c>
      <c r="F146" s="1" t="s">
        <v>38</v>
      </c>
      <c r="G146" s="1">
        <v>86</v>
      </c>
      <c r="H146" s="1">
        <v>1.87</v>
      </c>
    </row>
    <row r="147" spans="1:8" x14ac:dyDescent="0.35">
      <c r="A147" s="1" t="s">
        <v>168</v>
      </c>
      <c r="B147" s="6">
        <v>44996</v>
      </c>
      <c r="C147" s="1" t="s">
        <v>293</v>
      </c>
      <c r="D147" s="1" t="s">
        <v>42</v>
      </c>
      <c r="E147" s="1" t="s">
        <v>26</v>
      </c>
      <c r="F147" s="1" t="s">
        <v>27</v>
      </c>
      <c r="G147" s="1">
        <v>41</v>
      </c>
      <c r="H147" s="1">
        <v>1.68</v>
      </c>
    </row>
    <row r="148" spans="1:8" x14ac:dyDescent="0.35">
      <c r="A148" s="1" t="s">
        <v>169</v>
      </c>
      <c r="B148" s="6">
        <v>44999</v>
      </c>
      <c r="C148" s="1" t="s">
        <v>292</v>
      </c>
      <c r="D148" s="1" t="s">
        <v>7</v>
      </c>
      <c r="E148" s="1" t="s">
        <v>8</v>
      </c>
      <c r="F148" s="1" t="s">
        <v>9</v>
      </c>
      <c r="G148" s="1">
        <v>93</v>
      </c>
      <c r="H148" s="1">
        <v>1.77</v>
      </c>
    </row>
    <row r="149" spans="1:8" x14ac:dyDescent="0.35">
      <c r="A149" s="1" t="s">
        <v>170</v>
      </c>
      <c r="B149" s="6">
        <v>45002</v>
      </c>
      <c r="C149" s="1" t="s">
        <v>292</v>
      </c>
      <c r="D149" s="1" t="s">
        <v>7</v>
      </c>
      <c r="E149" s="1" t="s">
        <v>26</v>
      </c>
      <c r="F149" s="1" t="s">
        <v>27</v>
      </c>
      <c r="G149" s="1">
        <v>47</v>
      </c>
      <c r="H149" s="1">
        <v>1.68</v>
      </c>
    </row>
    <row r="150" spans="1:8" x14ac:dyDescent="0.35">
      <c r="A150" s="1" t="s">
        <v>171</v>
      </c>
      <c r="B150" s="6">
        <v>45005</v>
      </c>
      <c r="C150" s="1" t="s">
        <v>293</v>
      </c>
      <c r="D150" s="1" t="s">
        <v>14</v>
      </c>
      <c r="E150" s="1" t="s">
        <v>8</v>
      </c>
      <c r="F150" s="1" t="s">
        <v>9</v>
      </c>
      <c r="G150" s="1">
        <v>103</v>
      </c>
      <c r="H150" s="1">
        <v>1.77</v>
      </c>
    </row>
    <row r="151" spans="1:8" x14ac:dyDescent="0.35">
      <c r="A151" s="1" t="s">
        <v>172</v>
      </c>
      <c r="B151" s="6">
        <v>45008</v>
      </c>
      <c r="C151" s="1" t="s">
        <v>293</v>
      </c>
      <c r="D151" s="1" t="s">
        <v>14</v>
      </c>
      <c r="E151" s="1" t="s">
        <v>26</v>
      </c>
      <c r="F151" s="1" t="s">
        <v>27</v>
      </c>
      <c r="G151" s="1">
        <v>33</v>
      </c>
      <c r="H151" s="1">
        <v>1.68</v>
      </c>
    </row>
    <row r="152" spans="1:8" x14ac:dyDescent="0.35">
      <c r="A152" s="1" t="s">
        <v>173</v>
      </c>
      <c r="B152" s="6">
        <v>45011</v>
      </c>
      <c r="C152" s="1" t="s">
        <v>292</v>
      </c>
      <c r="D152" s="1" t="s">
        <v>18</v>
      </c>
      <c r="E152" s="1" t="s">
        <v>8</v>
      </c>
      <c r="F152" s="1" t="s">
        <v>38</v>
      </c>
      <c r="G152" s="1">
        <v>57</v>
      </c>
      <c r="H152" s="1">
        <v>1.87</v>
      </c>
    </row>
    <row r="153" spans="1:8" x14ac:dyDescent="0.35">
      <c r="A153" s="1" t="s">
        <v>174</v>
      </c>
      <c r="B153" s="6">
        <v>45014</v>
      </c>
      <c r="C153" s="1" t="s">
        <v>292</v>
      </c>
      <c r="D153" s="1" t="s">
        <v>18</v>
      </c>
      <c r="E153" s="1" t="s">
        <v>15</v>
      </c>
      <c r="F153" s="1" t="s">
        <v>36</v>
      </c>
      <c r="G153" s="1">
        <v>65</v>
      </c>
      <c r="H153" s="1">
        <v>2.84</v>
      </c>
    </row>
    <row r="154" spans="1:8" x14ac:dyDescent="0.35">
      <c r="A154" s="1" t="s">
        <v>175</v>
      </c>
      <c r="B154" s="6">
        <v>45017</v>
      </c>
      <c r="C154" s="1" t="s">
        <v>293</v>
      </c>
      <c r="D154" s="1" t="s">
        <v>42</v>
      </c>
      <c r="E154" s="1" t="s">
        <v>8</v>
      </c>
      <c r="F154" s="1" t="s">
        <v>9</v>
      </c>
      <c r="G154" s="1">
        <v>118</v>
      </c>
      <c r="H154" s="1">
        <v>1.77</v>
      </c>
    </row>
    <row r="155" spans="1:8" x14ac:dyDescent="0.35">
      <c r="A155" s="1" t="s">
        <v>176</v>
      </c>
      <c r="B155" s="6">
        <v>45020</v>
      </c>
      <c r="C155" s="1" t="s">
        <v>292</v>
      </c>
      <c r="D155" s="1" t="s">
        <v>7</v>
      </c>
      <c r="E155" s="1" t="s">
        <v>15</v>
      </c>
      <c r="F155" s="1" t="s">
        <v>20</v>
      </c>
      <c r="G155" s="1">
        <v>36</v>
      </c>
      <c r="H155" s="1">
        <v>2.1800000000000002</v>
      </c>
    </row>
    <row r="156" spans="1:8" x14ac:dyDescent="0.35">
      <c r="A156" s="1" t="s">
        <v>177</v>
      </c>
      <c r="B156" s="6">
        <v>45023</v>
      </c>
      <c r="C156" s="1" t="s">
        <v>292</v>
      </c>
      <c r="D156" s="1" t="s">
        <v>7</v>
      </c>
      <c r="E156" s="1" t="s">
        <v>15</v>
      </c>
      <c r="F156" s="1" t="s">
        <v>36</v>
      </c>
      <c r="G156" s="1">
        <v>123</v>
      </c>
      <c r="H156" s="1">
        <v>2.84</v>
      </c>
    </row>
    <row r="157" spans="1:8" x14ac:dyDescent="0.35">
      <c r="A157" s="1" t="s">
        <v>178</v>
      </c>
      <c r="B157" s="6">
        <v>45026</v>
      </c>
      <c r="C157" s="1" t="s">
        <v>293</v>
      </c>
      <c r="D157" s="1" t="s">
        <v>14</v>
      </c>
      <c r="E157" s="1" t="s">
        <v>8</v>
      </c>
      <c r="F157" s="1" t="s">
        <v>9</v>
      </c>
      <c r="G157" s="1">
        <v>90</v>
      </c>
      <c r="H157" s="1">
        <v>1.77</v>
      </c>
    </row>
    <row r="158" spans="1:8" x14ac:dyDescent="0.35">
      <c r="A158" s="1" t="s">
        <v>179</v>
      </c>
      <c r="B158" s="6">
        <v>45029</v>
      </c>
      <c r="C158" s="1" t="s">
        <v>293</v>
      </c>
      <c r="D158" s="1" t="s">
        <v>14</v>
      </c>
      <c r="E158" s="1" t="s">
        <v>11</v>
      </c>
      <c r="F158" s="1" t="s">
        <v>12</v>
      </c>
      <c r="G158" s="1">
        <v>21</v>
      </c>
      <c r="H158" s="1">
        <v>3.49</v>
      </c>
    </row>
    <row r="159" spans="1:8" x14ac:dyDescent="0.35">
      <c r="A159" s="1" t="s">
        <v>180</v>
      </c>
      <c r="B159" s="6">
        <v>45032</v>
      </c>
      <c r="C159" s="1" t="s">
        <v>292</v>
      </c>
      <c r="D159" s="1" t="s">
        <v>18</v>
      </c>
      <c r="E159" s="1" t="s">
        <v>8</v>
      </c>
      <c r="F159" s="1" t="s">
        <v>9</v>
      </c>
      <c r="G159" s="1">
        <v>48</v>
      </c>
      <c r="H159" s="1">
        <v>1.77</v>
      </c>
    </row>
    <row r="160" spans="1:8" x14ac:dyDescent="0.35">
      <c r="A160" s="1" t="s">
        <v>181</v>
      </c>
      <c r="B160" s="6">
        <v>45035</v>
      </c>
      <c r="C160" s="1" t="s">
        <v>292</v>
      </c>
      <c r="D160" s="1" t="s">
        <v>18</v>
      </c>
      <c r="E160" s="1" t="s">
        <v>26</v>
      </c>
      <c r="F160" s="1" t="s">
        <v>27</v>
      </c>
      <c r="G160" s="1">
        <v>24</v>
      </c>
      <c r="H160" s="1">
        <v>1.68</v>
      </c>
    </row>
    <row r="161" spans="1:8" x14ac:dyDescent="0.35">
      <c r="A161" s="1" t="s">
        <v>182</v>
      </c>
      <c r="B161" s="6">
        <v>45038</v>
      </c>
      <c r="C161" s="1" t="s">
        <v>293</v>
      </c>
      <c r="D161" s="1" t="s">
        <v>42</v>
      </c>
      <c r="E161" s="1" t="s">
        <v>15</v>
      </c>
      <c r="F161" s="1" t="s">
        <v>16</v>
      </c>
      <c r="G161" s="1">
        <v>67</v>
      </c>
      <c r="H161" s="1">
        <v>1.87</v>
      </c>
    </row>
    <row r="162" spans="1:8" x14ac:dyDescent="0.35">
      <c r="A162" s="1" t="s">
        <v>183</v>
      </c>
      <c r="B162" s="6">
        <v>45041</v>
      </c>
      <c r="C162" s="1" t="s">
        <v>292</v>
      </c>
      <c r="D162" s="1" t="s">
        <v>7</v>
      </c>
      <c r="E162" s="1" t="s">
        <v>8</v>
      </c>
      <c r="F162" s="1" t="s">
        <v>38</v>
      </c>
      <c r="G162" s="1">
        <v>27</v>
      </c>
      <c r="H162" s="1">
        <v>1.87</v>
      </c>
    </row>
    <row r="163" spans="1:8" x14ac:dyDescent="0.35">
      <c r="A163" s="1" t="s">
        <v>184</v>
      </c>
      <c r="B163" s="6">
        <v>45044</v>
      </c>
      <c r="C163" s="1" t="s">
        <v>292</v>
      </c>
      <c r="D163" s="1" t="s">
        <v>7</v>
      </c>
      <c r="E163" s="1" t="s">
        <v>15</v>
      </c>
      <c r="F163" s="1" t="s">
        <v>36</v>
      </c>
      <c r="G163" s="1">
        <v>129</v>
      </c>
      <c r="H163" s="1">
        <v>2.84</v>
      </c>
    </row>
    <row r="164" spans="1:8" x14ac:dyDescent="0.35">
      <c r="A164" s="1" t="s">
        <v>185</v>
      </c>
      <c r="B164" s="6">
        <v>45047</v>
      </c>
      <c r="C164" s="1" t="s">
        <v>293</v>
      </c>
      <c r="D164" s="1" t="s">
        <v>14</v>
      </c>
      <c r="E164" s="1" t="s">
        <v>15</v>
      </c>
      <c r="F164" s="1" t="s">
        <v>20</v>
      </c>
      <c r="G164" s="1">
        <v>77</v>
      </c>
      <c r="H164" s="1">
        <v>2.1800000000000002</v>
      </c>
    </row>
    <row r="165" spans="1:8" x14ac:dyDescent="0.35">
      <c r="A165" s="1" t="s">
        <v>186</v>
      </c>
      <c r="B165" s="6">
        <v>45050</v>
      </c>
      <c r="C165" s="1" t="s">
        <v>293</v>
      </c>
      <c r="D165" s="1" t="s">
        <v>14</v>
      </c>
      <c r="E165" s="1" t="s">
        <v>15</v>
      </c>
      <c r="F165" s="1" t="s">
        <v>16</v>
      </c>
      <c r="G165" s="1">
        <v>58</v>
      </c>
      <c r="H165" s="1">
        <v>1.87</v>
      </c>
    </row>
    <row r="166" spans="1:8" x14ac:dyDescent="0.35">
      <c r="A166" s="1" t="s">
        <v>187</v>
      </c>
      <c r="B166" s="6">
        <v>45053</v>
      </c>
      <c r="C166" s="1" t="s">
        <v>292</v>
      </c>
      <c r="D166" s="1" t="s">
        <v>18</v>
      </c>
      <c r="E166" s="1" t="s">
        <v>8</v>
      </c>
      <c r="F166" s="1" t="s">
        <v>38</v>
      </c>
      <c r="G166" s="1">
        <v>47</v>
      </c>
      <c r="H166" s="1">
        <v>1.87</v>
      </c>
    </row>
    <row r="167" spans="1:8" x14ac:dyDescent="0.35">
      <c r="A167" s="1" t="s">
        <v>188</v>
      </c>
      <c r="B167" s="6">
        <v>45056</v>
      </c>
      <c r="C167" s="1" t="s">
        <v>292</v>
      </c>
      <c r="D167" s="1" t="s">
        <v>18</v>
      </c>
      <c r="E167" s="1" t="s">
        <v>15</v>
      </c>
      <c r="F167" s="1" t="s">
        <v>36</v>
      </c>
      <c r="G167" s="1">
        <v>33</v>
      </c>
      <c r="H167" s="1">
        <v>2.84</v>
      </c>
    </row>
    <row r="168" spans="1:8" x14ac:dyDescent="0.35">
      <c r="A168" s="1" t="s">
        <v>189</v>
      </c>
      <c r="B168" s="6">
        <v>45059</v>
      </c>
      <c r="C168" s="1" t="s">
        <v>293</v>
      </c>
      <c r="D168" s="1" t="s">
        <v>42</v>
      </c>
      <c r="E168" s="1" t="s">
        <v>15</v>
      </c>
      <c r="F168" s="1" t="s">
        <v>16</v>
      </c>
      <c r="G168" s="1">
        <v>82</v>
      </c>
      <c r="H168" s="1">
        <v>1.87</v>
      </c>
    </row>
    <row r="169" spans="1:8" x14ac:dyDescent="0.35">
      <c r="A169" s="1" t="s">
        <v>190</v>
      </c>
      <c r="B169" s="6">
        <v>45062</v>
      </c>
      <c r="C169" s="1" t="s">
        <v>292</v>
      </c>
      <c r="D169" s="1" t="s">
        <v>7</v>
      </c>
      <c r="E169" s="1" t="s">
        <v>8</v>
      </c>
      <c r="F169" s="1" t="s">
        <v>9</v>
      </c>
      <c r="G169" s="1">
        <v>58</v>
      </c>
      <c r="H169" s="1">
        <v>1.77</v>
      </c>
    </row>
    <row r="170" spans="1:8" x14ac:dyDescent="0.35">
      <c r="A170" s="1" t="s">
        <v>191</v>
      </c>
      <c r="B170" s="6">
        <v>45065</v>
      </c>
      <c r="C170" s="1" t="s">
        <v>292</v>
      </c>
      <c r="D170" s="1" t="s">
        <v>7</v>
      </c>
      <c r="E170" s="1" t="s">
        <v>26</v>
      </c>
      <c r="F170" s="1" t="s">
        <v>107</v>
      </c>
      <c r="G170" s="1">
        <v>30</v>
      </c>
      <c r="H170" s="1">
        <v>3.15</v>
      </c>
    </row>
    <row r="171" spans="1:8" x14ac:dyDescent="0.35">
      <c r="A171" s="1" t="s">
        <v>192</v>
      </c>
      <c r="B171" s="6">
        <v>45068</v>
      </c>
      <c r="C171" s="1" t="s">
        <v>293</v>
      </c>
      <c r="D171" s="1" t="s">
        <v>14</v>
      </c>
      <c r="E171" s="1" t="s">
        <v>15</v>
      </c>
      <c r="F171" s="1" t="s">
        <v>16</v>
      </c>
      <c r="G171" s="1">
        <v>43</v>
      </c>
      <c r="H171" s="1">
        <v>1.87</v>
      </c>
    </row>
    <row r="172" spans="1:8" x14ac:dyDescent="0.35">
      <c r="A172" s="1" t="s">
        <v>193</v>
      </c>
      <c r="B172" s="6">
        <v>45071</v>
      </c>
      <c r="C172" s="1" t="s">
        <v>292</v>
      </c>
      <c r="D172" s="1" t="s">
        <v>18</v>
      </c>
      <c r="E172" s="1" t="s">
        <v>8</v>
      </c>
      <c r="F172" s="1" t="s">
        <v>9</v>
      </c>
      <c r="G172" s="1">
        <v>84</v>
      </c>
      <c r="H172" s="1">
        <v>1.77</v>
      </c>
    </row>
    <row r="173" spans="1:8" x14ac:dyDescent="0.35">
      <c r="A173" s="1" t="s">
        <v>194</v>
      </c>
      <c r="B173" s="6">
        <v>45074</v>
      </c>
      <c r="C173" s="1" t="s">
        <v>293</v>
      </c>
      <c r="D173" s="1" t="s">
        <v>42</v>
      </c>
      <c r="E173" s="1" t="s">
        <v>15</v>
      </c>
      <c r="F173" s="1" t="s">
        <v>20</v>
      </c>
      <c r="G173" s="1">
        <v>36</v>
      </c>
      <c r="H173" s="1">
        <v>2.1800000000000002</v>
      </c>
    </row>
    <row r="174" spans="1:8" x14ac:dyDescent="0.35">
      <c r="A174" s="1" t="s">
        <v>195</v>
      </c>
      <c r="B174" s="6">
        <v>45077</v>
      </c>
      <c r="C174" s="1" t="s">
        <v>293</v>
      </c>
      <c r="D174" s="1" t="s">
        <v>42</v>
      </c>
      <c r="E174" s="1" t="s">
        <v>15</v>
      </c>
      <c r="F174" s="1" t="s">
        <v>36</v>
      </c>
      <c r="G174" s="1">
        <v>44</v>
      </c>
      <c r="H174" s="1">
        <v>2.84</v>
      </c>
    </row>
    <row r="175" spans="1:8" x14ac:dyDescent="0.35">
      <c r="A175" s="1" t="s">
        <v>196</v>
      </c>
      <c r="B175" s="6">
        <v>45080</v>
      </c>
      <c r="C175" s="1" t="s">
        <v>292</v>
      </c>
      <c r="D175" s="1" t="s">
        <v>7</v>
      </c>
      <c r="E175" s="1" t="s">
        <v>8</v>
      </c>
      <c r="F175" s="1" t="s">
        <v>38</v>
      </c>
      <c r="G175" s="1">
        <v>27</v>
      </c>
      <c r="H175" s="1">
        <v>1.87</v>
      </c>
    </row>
    <row r="176" spans="1:8" x14ac:dyDescent="0.35">
      <c r="A176" s="1" t="s">
        <v>197</v>
      </c>
      <c r="B176" s="6">
        <v>45083</v>
      </c>
      <c r="C176" s="1" t="s">
        <v>292</v>
      </c>
      <c r="D176" s="1" t="s">
        <v>7</v>
      </c>
      <c r="E176" s="1" t="s">
        <v>15</v>
      </c>
      <c r="F176" s="1" t="s">
        <v>36</v>
      </c>
      <c r="G176" s="1">
        <v>120</v>
      </c>
      <c r="H176" s="1">
        <v>2.84</v>
      </c>
    </row>
    <row r="177" spans="1:8" x14ac:dyDescent="0.35">
      <c r="A177" s="1" t="s">
        <v>198</v>
      </c>
      <c r="B177" s="6">
        <v>45086</v>
      </c>
      <c r="C177" s="1" t="s">
        <v>292</v>
      </c>
      <c r="D177" s="1" t="s">
        <v>7</v>
      </c>
      <c r="E177" s="1" t="s">
        <v>11</v>
      </c>
      <c r="F177" s="1" t="s">
        <v>12</v>
      </c>
      <c r="G177" s="1">
        <v>26</v>
      </c>
      <c r="H177" s="1">
        <v>3.49</v>
      </c>
    </row>
    <row r="178" spans="1:8" x14ac:dyDescent="0.35">
      <c r="A178" s="1" t="s">
        <v>199</v>
      </c>
      <c r="B178" s="6">
        <v>45089</v>
      </c>
      <c r="C178" s="1" t="s">
        <v>293</v>
      </c>
      <c r="D178" s="1" t="s">
        <v>14</v>
      </c>
      <c r="E178" s="1" t="s">
        <v>8</v>
      </c>
      <c r="F178" s="1" t="s">
        <v>9</v>
      </c>
      <c r="G178" s="1">
        <v>73</v>
      </c>
      <c r="H178" s="1">
        <v>1.77</v>
      </c>
    </row>
    <row r="179" spans="1:8" x14ac:dyDescent="0.35">
      <c r="A179" s="1" t="s">
        <v>200</v>
      </c>
      <c r="B179" s="6">
        <v>45092</v>
      </c>
      <c r="C179" s="1" t="s">
        <v>292</v>
      </c>
      <c r="D179" s="1" t="s">
        <v>18</v>
      </c>
      <c r="E179" s="1" t="s">
        <v>8</v>
      </c>
      <c r="F179" s="1" t="s">
        <v>38</v>
      </c>
      <c r="G179" s="1">
        <v>38</v>
      </c>
      <c r="H179" s="1">
        <v>1.87</v>
      </c>
    </row>
    <row r="180" spans="1:8" x14ac:dyDescent="0.35">
      <c r="A180" s="1" t="s">
        <v>201</v>
      </c>
      <c r="B180" s="6">
        <v>45095</v>
      </c>
      <c r="C180" s="1" t="s">
        <v>292</v>
      </c>
      <c r="D180" s="1" t="s">
        <v>18</v>
      </c>
      <c r="E180" s="1" t="s">
        <v>15</v>
      </c>
      <c r="F180" s="1" t="s">
        <v>36</v>
      </c>
      <c r="G180" s="1">
        <v>40</v>
      </c>
      <c r="H180" s="1">
        <v>2.84</v>
      </c>
    </row>
    <row r="181" spans="1:8" x14ac:dyDescent="0.35">
      <c r="A181" s="1" t="s">
        <v>202</v>
      </c>
      <c r="B181" s="6">
        <v>45098</v>
      </c>
      <c r="C181" s="1" t="s">
        <v>293</v>
      </c>
      <c r="D181" s="1" t="s">
        <v>42</v>
      </c>
      <c r="E181" s="1" t="s">
        <v>8</v>
      </c>
      <c r="F181" s="1" t="s">
        <v>9</v>
      </c>
      <c r="G181" s="1">
        <v>41</v>
      </c>
      <c r="H181" s="1">
        <v>1.77</v>
      </c>
    </row>
    <row r="182" spans="1:8" x14ac:dyDescent="0.35">
      <c r="A182" s="1" t="s">
        <v>203</v>
      </c>
      <c r="B182" s="6">
        <v>45101</v>
      </c>
      <c r="C182" s="1" t="s">
        <v>292</v>
      </c>
      <c r="D182" s="1" t="s">
        <v>7</v>
      </c>
      <c r="E182" s="1" t="s">
        <v>8</v>
      </c>
      <c r="F182" s="1" t="s">
        <v>137</v>
      </c>
      <c r="G182" s="1">
        <v>27</v>
      </c>
      <c r="H182" s="1">
        <v>2.27</v>
      </c>
    </row>
    <row r="183" spans="1:8" x14ac:dyDescent="0.35">
      <c r="A183" s="1" t="s">
        <v>204</v>
      </c>
      <c r="B183" s="6">
        <v>45104</v>
      </c>
      <c r="C183" s="1" t="s">
        <v>292</v>
      </c>
      <c r="D183" s="1" t="s">
        <v>7</v>
      </c>
      <c r="E183" s="1" t="s">
        <v>15</v>
      </c>
      <c r="F183" s="1" t="s">
        <v>16</v>
      </c>
      <c r="G183" s="1">
        <v>38</v>
      </c>
      <c r="H183" s="1">
        <v>1.87</v>
      </c>
    </row>
    <row r="184" spans="1:8" x14ac:dyDescent="0.35">
      <c r="A184" s="1" t="s">
        <v>205</v>
      </c>
      <c r="B184" s="6">
        <v>45107</v>
      </c>
      <c r="C184" s="1" t="s">
        <v>292</v>
      </c>
      <c r="D184" s="1" t="s">
        <v>7</v>
      </c>
      <c r="E184" s="1" t="s">
        <v>11</v>
      </c>
      <c r="F184" s="1" t="s">
        <v>12</v>
      </c>
      <c r="G184" s="1">
        <v>34</v>
      </c>
      <c r="H184" s="1">
        <v>3.49</v>
      </c>
    </row>
    <row r="185" spans="1:8" x14ac:dyDescent="0.35">
      <c r="A185" s="1" t="s">
        <v>206</v>
      </c>
      <c r="B185" s="6">
        <v>45110</v>
      </c>
      <c r="C185" s="1" t="s">
        <v>293</v>
      </c>
      <c r="D185" s="1" t="s">
        <v>14</v>
      </c>
      <c r="E185" s="1" t="s">
        <v>8</v>
      </c>
      <c r="F185" s="1" t="s">
        <v>38</v>
      </c>
      <c r="G185" s="1">
        <v>65</v>
      </c>
      <c r="H185" s="1">
        <v>1.87</v>
      </c>
    </row>
    <row r="186" spans="1:8" x14ac:dyDescent="0.35">
      <c r="A186" s="1" t="s">
        <v>207</v>
      </c>
      <c r="B186" s="6">
        <v>45113</v>
      </c>
      <c r="C186" s="1" t="s">
        <v>293</v>
      </c>
      <c r="D186" s="1" t="s">
        <v>14</v>
      </c>
      <c r="E186" s="1" t="s">
        <v>15</v>
      </c>
      <c r="F186" s="1" t="s">
        <v>36</v>
      </c>
      <c r="G186" s="1">
        <v>60</v>
      </c>
      <c r="H186" s="1">
        <v>2.84</v>
      </c>
    </row>
    <row r="187" spans="1:8" x14ac:dyDescent="0.35">
      <c r="A187" s="1" t="s">
        <v>208</v>
      </c>
      <c r="B187" s="6">
        <v>45116</v>
      </c>
      <c r="C187" s="1" t="s">
        <v>292</v>
      </c>
      <c r="D187" s="1" t="s">
        <v>18</v>
      </c>
      <c r="E187" s="1" t="s">
        <v>15</v>
      </c>
      <c r="F187" s="1" t="s">
        <v>20</v>
      </c>
      <c r="G187" s="1">
        <v>37</v>
      </c>
      <c r="H187" s="1">
        <v>2.1800000000000002</v>
      </c>
    </row>
    <row r="188" spans="1:8" x14ac:dyDescent="0.35">
      <c r="A188" s="1" t="s">
        <v>209</v>
      </c>
      <c r="B188" s="6">
        <v>45119</v>
      </c>
      <c r="C188" s="1" t="s">
        <v>292</v>
      </c>
      <c r="D188" s="1" t="s">
        <v>18</v>
      </c>
      <c r="E188" s="1" t="s">
        <v>15</v>
      </c>
      <c r="F188" s="1" t="s">
        <v>16</v>
      </c>
      <c r="G188" s="1">
        <v>40</v>
      </c>
      <c r="H188" s="1">
        <v>1.87</v>
      </c>
    </row>
    <row r="189" spans="1:8" x14ac:dyDescent="0.35">
      <c r="A189" s="1" t="s">
        <v>210</v>
      </c>
      <c r="B189" s="6">
        <v>45122</v>
      </c>
      <c r="C189" s="1" t="s">
        <v>293</v>
      </c>
      <c r="D189" s="1" t="s">
        <v>42</v>
      </c>
      <c r="E189" s="1" t="s">
        <v>8</v>
      </c>
      <c r="F189" s="1" t="s">
        <v>38</v>
      </c>
      <c r="G189" s="1">
        <v>26</v>
      </c>
      <c r="H189" s="1">
        <v>1.87</v>
      </c>
    </row>
    <row r="190" spans="1:8" x14ac:dyDescent="0.35">
      <c r="A190" s="1" t="s">
        <v>211</v>
      </c>
      <c r="B190" s="6">
        <v>45125</v>
      </c>
      <c r="C190" s="1" t="s">
        <v>292</v>
      </c>
      <c r="D190" s="1" t="s">
        <v>7</v>
      </c>
      <c r="E190" s="1" t="s">
        <v>8</v>
      </c>
      <c r="F190" s="1" t="s">
        <v>137</v>
      </c>
      <c r="G190" s="1">
        <v>22</v>
      </c>
      <c r="H190" s="1">
        <v>2.27</v>
      </c>
    </row>
    <row r="191" spans="1:8" x14ac:dyDescent="0.35">
      <c r="A191" s="1" t="s">
        <v>212</v>
      </c>
      <c r="B191" s="6">
        <v>45128</v>
      </c>
      <c r="C191" s="1" t="s">
        <v>292</v>
      </c>
      <c r="D191" s="1" t="s">
        <v>7</v>
      </c>
      <c r="E191" s="1" t="s">
        <v>15</v>
      </c>
      <c r="F191" s="1" t="s">
        <v>16</v>
      </c>
      <c r="G191" s="1">
        <v>32</v>
      </c>
      <c r="H191" s="1">
        <v>1.87</v>
      </c>
    </row>
    <row r="192" spans="1:8" x14ac:dyDescent="0.35">
      <c r="A192" s="1" t="s">
        <v>213</v>
      </c>
      <c r="B192" s="6">
        <v>45131</v>
      </c>
      <c r="C192" s="1" t="s">
        <v>292</v>
      </c>
      <c r="D192" s="1" t="s">
        <v>7</v>
      </c>
      <c r="E192" s="1" t="s">
        <v>11</v>
      </c>
      <c r="F192" s="1" t="s">
        <v>12</v>
      </c>
      <c r="G192" s="1">
        <v>23</v>
      </c>
      <c r="H192" s="1">
        <v>3.49</v>
      </c>
    </row>
    <row r="193" spans="1:8" x14ac:dyDescent="0.35">
      <c r="A193" s="1" t="s">
        <v>214</v>
      </c>
      <c r="B193" s="6">
        <v>45134</v>
      </c>
      <c r="C193" s="1" t="s">
        <v>293</v>
      </c>
      <c r="D193" s="1" t="s">
        <v>14</v>
      </c>
      <c r="E193" s="1" t="s">
        <v>15</v>
      </c>
      <c r="F193" s="1" t="s">
        <v>20</v>
      </c>
      <c r="G193" s="1">
        <v>20</v>
      </c>
      <c r="H193" s="1">
        <v>2.1800000000000002</v>
      </c>
    </row>
    <row r="194" spans="1:8" x14ac:dyDescent="0.35">
      <c r="A194" s="1" t="s">
        <v>215</v>
      </c>
      <c r="B194" s="6">
        <v>45137</v>
      </c>
      <c r="C194" s="1" t="s">
        <v>293</v>
      </c>
      <c r="D194" s="1" t="s">
        <v>14</v>
      </c>
      <c r="E194" s="1" t="s">
        <v>15</v>
      </c>
      <c r="F194" s="1" t="s">
        <v>16</v>
      </c>
      <c r="G194" s="1">
        <v>64</v>
      </c>
      <c r="H194" s="1">
        <v>1.87</v>
      </c>
    </row>
    <row r="195" spans="1:8" x14ac:dyDescent="0.35">
      <c r="A195" s="1" t="s">
        <v>216</v>
      </c>
      <c r="B195" s="6">
        <v>45140</v>
      </c>
      <c r="C195" s="1" t="s">
        <v>292</v>
      </c>
      <c r="D195" s="1" t="s">
        <v>18</v>
      </c>
      <c r="E195" s="1" t="s">
        <v>8</v>
      </c>
      <c r="F195" s="1" t="s">
        <v>9</v>
      </c>
      <c r="G195" s="1">
        <v>71</v>
      </c>
      <c r="H195" s="1">
        <v>1.77</v>
      </c>
    </row>
    <row r="196" spans="1:8" x14ac:dyDescent="0.35">
      <c r="A196" s="1" t="s">
        <v>217</v>
      </c>
      <c r="B196" s="6">
        <v>45143</v>
      </c>
      <c r="C196" s="1" t="s">
        <v>293</v>
      </c>
      <c r="D196" s="1" t="s">
        <v>42</v>
      </c>
      <c r="E196" s="1" t="s">
        <v>15</v>
      </c>
      <c r="F196" s="1" t="s">
        <v>20</v>
      </c>
      <c r="G196" s="1">
        <v>90</v>
      </c>
      <c r="H196" s="1">
        <v>2.1800000000000002</v>
      </c>
    </row>
    <row r="197" spans="1:8" x14ac:dyDescent="0.35">
      <c r="A197" s="1" t="s">
        <v>218</v>
      </c>
      <c r="B197" s="6">
        <v>45146</v>
      </c>
      <c r="C197" s="1" t="s">
        <v>293</v>
      </c>
      <c r="D197" s="1" t="s">
        <v>42</v>
      </c>
      <c r="E197" s="1" t="s">
        <v>15</v>
      </c>
      <c r="F197" s="1" t="s">
        <v>36</v>
      </c>
      <c r="G197" s="1">
        <v>38</v>
      </c>
      <c r="H197" s="1">
        <v>2.84</v>
      </c>
    </row>
    <row r="198" spans="1:8" x14ac:dyDescent="0.35">
      <c r="A198" s="1" t="s">
        <v>219</v>
      </c>
      <c r="B198" s="6">
        <v>45149</v>
      </c>
      <c r="C198" s="1" t="s">
        <v>292</v>
      </c>
      <c r="D198" s="1" t="s">
        <v>7</v>
      </c>
      <c r="E198" s="1" t="s">
        <v>8</v>
      </c>
      <c r="F198" s="1" t="s">
        <v>9</v>
      </c>
      <c r="G198" s="1">
        <v>55</v>
      </c>
      <c r="H198" s="1">
        <v>1.77</v>
      </c>
    </row>
    <row r="199" spans="1:8" x14ac:dyDescent="0.35">
      <c r="A199" s="1" t="s">
        <v>220</v>
      </c>
      <c r="B199" s="6">
        <v>45152</v>
      </c>
      <c r="C199" s="1" t="s">
        <v>292</v>
      </c>
      <c r="D199" s="1" t="s">
        <v>7</v>
      </c>
      <c r="E199" s="1" t="s">
        <v>26</v>
      </c>
      <c r="F199" s="1" t="s">
        <v>107</v>
      </c>
      <c r="G199" s="1">
        <v>22</v>
      </c>
      <c r="H199" s="1">
        <v>3.15</v>
      </c>
    </row>
    <row r="200" spans="1:8" x14ac:dyDescent="0.35">
      <c r="A200" s="1" t="s">
        <v>221</v>
      </c>
      <c r="B200" s="6">
        <v>45155</v>
      </c>
      <c r="C200" s="1" t="s">
        <v>293</v>
      </c>
      <c r="D200" s="1" t="s">
        <v>14</v>
      </c>
      <c r="E200" s="1" t="s">
        <v>8</v>
      </c>
      <c r="F200" s="1" t="s">
        <v>9</v>
      </c>
      <c r="G200" s="1">
        <v>34</v>
      </c>
      <c r="H200" s="1">
        <v>1.77</v>
      </c>
    </row>
    <row r="201" spans="1:8" x14ac:dyDescent="0.35">
      <c r="A201" s="1" t="s">
        <v>222</v>
      </c>
      <c r="B201" s="6">
        <v>45158</v>
      </c>
      <c r="C201" s="1" t="s">
        <v>292</v>
      </c>
      <c r="D201" s="1" t="s">
        <v>18</v>
      </c>
      <c r="E201" s="1" t="s">
        <v>8</v>
      </c>
      <c r="F201" s="1" t="s">
        <v>38</v>
      </c>
      <c r="G201" s="1">
        <v>39</v>
      </c>
      <c r="H201" s="1">
        <v>1.87</v>
      </c>
    </row>
    <row r="202" spans="1:8" x14ac:dyDescent="0.35">
      <c r="A202" s="1" t="s">
        <v>223</v>
      </c>
      <c r="B202" s="6">
        <v>45161</v>
      </c>
      <c r="C202" s="1" t="s">
        <v>292</v>
      </c>
      <c r="D202" s="1" t="s">
        <v>18</v>
      </c>
      <c r="E202" s="1" t="s">
        <v>15</v>
      </c>
      <c r="F202" s="1" t="s">
        <v>36</v>
      </c>
      <c r="G202" s="1">
        <v>41</v>
      </c>
      <c r="H202" s="1">
        <v>2.84</v>
      </c>
    </row>
    <row r="203" spans="1:8" x14ac:dyDescent="0.35">
      <c r="A203" s="1" t="s">
        <v>224</v>
      </c>
      <c r="B203" s="6">
        <v>45164</v>
      </c>
      <c r="C203" s="1" t="s">
        <v>293</v>
      </c>
      <c r="D203" s="1" t="s">
        <v>42</v>
      </c>
      <c r="E203" s="1" t="s">
        <v>8</v>
      </c>
      <c r="F203" s="1" t="s">
        <v>9</v>
      </c>
      <c r="G203" s="1">
        <v>41</v>
      </c>
      <c r="H203" s="1">
        <v>1.77</v>
      </c>
    </row>
    <row r="204" spans="1:8" x14ac:dyDescent="0.35">
      <c r="A204" s="1" t="s">
        <v>225</v>
      </c>
      <c r="B204" s="6">
        <v>45167</v>
      </c>
      <c r="C204" s="1" t="s">
        <v>292</v>
      </c>
      <c r="D204" s="1" t="s">
        <v>7</v>
      </c>
      <c r="E204" s="1" t="s">
        <v>15</v>
      </c>
      <c r="F204" s="1" t="s">
        <v>20</v>
      </c>
      <c r="G204" s="1">
        <v>136</v>
      </c>
      <c r="H204" s="1">
        <v>2.1800000000000002</v>
      </c>
    </row>
    <row r="205" spans="1:8" x14ac:dyDescent="0.35">
      <c r="A205" s="1" t="s">
        <v>226</v>
      </c>
      <c r="B205" s="6">
        <v>45170</v>
      </c>
      <c r="C205" s="1" t="s">
        <v>292</v>
      </c>
      <c r="D205" s="1" t="s">
        <v>7</v>
      </c>
      <c r="E205" s="1" t="s">
        <v>8</v>
      </c>
      <c r="F205" s="1" t="s">
        <v>9</v>
      </c>
      <c r="G205" s="1">
        <v>25</v>
      </c>
      <c r="H205" s="1">
        <v>1.77</v>
      </c>
    </row>
    <row r="206" spans="1:8" x14ac:dyDescent="0.35">
      <c r="A206" s="1" t="s">
        <v>227</v>
      </c>
      <c r="B206" s="6">
        <v>45173</v>
      </c>
      <c r="C206" s="1" t="s">
        <v>292</v>
      </c>
      <c r="D206" s="1" t="s">
        <v>7</v>
      </c>
      <c r="E206" s="1" t="s">
        <v>26</v>
      </c>
      <c r="F206" s="1" t="s">
        <v>107</v>
      </c>
      <c r="G206" s="1">
        <v>26</v>
      </c>
      <c r="H206" s="1">
        <v>3.15</v>
      </c>
    </row>
    <row r="207" spans="1:8" x14ac:dyDescent="0.35">
      <c r="A207" s="1" t="s">
        <v>228</v>
      </c>
      <c r="B207" s="6">
        <v>45176</v>
      </c>
      <c r="C207" s="1" t="s">
        <v>293</v>
      </c>
      <c r="D207" s="1" t="s">
        <v>14</v>
      </c>
      <c r="E207" s="1" t="s">
        <v>8</v>
      </c>
      <c r="F207" s="1" t="s">
        <v>38</v>
      </c>
      <c r="G207" s="1">
        <v>50</v>
      </c>
      <c r="H207" s="1">
        <v>1.87</v>
      </c>
    </row>
    <row r="208" spans="1:8" x14ac:dyDescent="0.35">
      <c r="A208" s="1" t="s">
        <v>229</v>
      </c>
      <c r="B208" s="6">
        <v>45179</v>
      </c>
      <c r="C208" s="1" t="s">
        <v>293</v>
      </c>
      <c r="D208" s="1" t="s">
        <v>14</v>
      </c>
      <c r="E208" s="1" t="s">
        <v>15</v>
      </c>
      <c r="F208" s="1" t="s">
        <v>36</v>
      </c>
      <c r="G208" s="1">
        <v>79</v>
      </c>
      <c r="H208" s="1">
        <v>2.84</v>
      </c>
    </row>
    <row r="209" spans="1:8" x14ac:dyDescent="0.35">
      <c r="A209" s="1" t="s">
        <v>230</v>
      </c>
      <c r="B209" s="6">
        <v>45182</v>
      </c>
      <c r="C209" s="1" t="s">
        <v>292</v>
      </c>
      <c r="D209" s="1" t="s">
        <v>18</v>
      </c>
      <c r="E209" s="1" t="s">
        <v>8</v>
      </c>
      <c r="F209" s="1" t="s">
        <v>9</v>
      </c>
      <c r="G209" s="1">
        <v>30</v>
      </c>
      <c r="H209" s="1">
        <v>1.77</v>
      </c>
    </row>
    <row r="210" spans="1:8" x14ac:dyDescent="0.35">
      <c r="A210" s="1" t="s">
        <v>231</v>
      </c>
      <c r="B210" s="6">
        <v>45185</v>
      </c>
      <c r="C210" s="1" t="s">
        <v>292</v>
      </c>
      <c r="D210" s="1" t="s">
        <v>18</v>
      </c>
      <c r="E210" s="1" t="s">
        <v>26</v>
      </c>
      <c r="F210" s="1" t="s">
        <v>27</v>
      </c>
      <c r="G210" s="1">
        <v>20</v>
      </c>
      <c r="H210" s="1">
        <v>1.68</v>
      </c>
    </row>
    <row r="211" spans="1:8" x14ac:dyDescent="0.35">
      <c r="A211" s="1" t="s">
        <v>232</v>
      </c>
      <c r="B211" s="6">
        <v>45188</v>
      </c>
      <c r="C211" s="1" t="s">
        <v>293</v>
      </c>
      <c r="D211" s="1" t="s">
        <v>42</v>
      </c>
      <c r="E211" s="1" t="s">
        <v>8</v>
      </c>
      <c r="F211" s="1" t="s">
        <v>9</v>
      </c>
      <c r="G211" s="1">
        <v>49</v>
      </c>
      <c r="H211" s="1">
        <v>1.77</v>
      </c>
    </row>
    <row r="212" spans="1:8" x14ac:dyDescent="0.35">
      <c r="A212" s="1" t="s">
        <v>233</v>
      </c>
      <c r="B212" s="6">
        <v>45191</v>
      </c>
      <c r="C212" s="1" t="s">
        <v>292</v>
      </c>
      <c r="D212" s="1" t="s">
        <v>7</v>
      </c>
      <c r="E212" s="1" t="s">
        <v>15</v>
      </c>
      <c r="F212" s="1" t="s">
        <v>20</v>
      </c>
      <c r="G212" s="1">
        <v>40</v>
      </c>
      <c r="H212" s="1">
        <v>2.1800000000000002</v>
      </c>
    </row>
    <row r="213" spans="1:8" x14ac:dyDescent="0.35">
      <c r="A213" s="1" t="s">
        <v>234</v>
      </c>
      <c r="B213" s="6">
        <v>45194</v>
      </c>
      <c r="C213" s="1" t="s">
        <v>292</v>
      </c>
      <c r="D213" s="1" t="s">
        <v>7</v>
      </c>
      <c r="E213" s="1" t="s">
        <v>8</v>
      </c>
      <c r="F213" s="1" t="s">
        <v>9</v>
      </c>
      <c r="G213" s="1">
        <v>31</v>
      </c>
      <c r="H213" s="1">
        <v>1.77</v>
      </c>
    </row>
    <row r="214" spans="1:8" x14ac:dyDescent="0.35">
      <c r="A214" s="1" t="s">
        <v>235</v>
      </c>
      <c r="B214" s="6">
        <v>45197</v>
      </c>
      <c r="C214" s="1" t="s">
        <v>292</v>
      </c>
      <c r="D214" s="1" t="s">
        <v>7</v>
      </c>
      <c r="E214" s="1" t="s">
        <v>26</v>
      </c>
      <c r="F214" s="1" t="s">
        <v>107</v>
      </c>
      <c r="G214" s="1">
        <v>21</v>
      </c>
      <c r="H214" s="1">
        <v>3.15</v>
      </c>
    </row>
    <row r="215" spans="1:8" x14ac:dyDescent="0.35">
      <c r="A215" s="1" t="s">
        <v>236</v>
      </c>
      <c r="B215" s="6">
        <v>45200</v>
      </c>
      <c r="C215" s="1" t="s">
        <v>293</v>
      </c>
      <c r="D215" s="1" t="s">
        <v>14</v>
      </c>
      <c r="E215" s="1" t="s">
        <v>8</v>
      </c>
      <c r="F215" s="1" t="s">
        <v>38</v>
      </c>
      <c r="G215" s="1">
        <v>43</v>
      </c>
      <c r="H215" s="1">
        <v>1.87</v>
      </c>
    </row>
    <row r="216" spans="1:8" x14ac:dyDescent="0.35">
      <c r="A216" s="1" t="s">
        <v>237</v>
      </c>
      <c r="B216" s="6">
        <v>45203</v>
      </c>
      <c r="C216" s="1" t="s">
        <v>293</v>
      </c>
      <c r="D216" s="1" t="s">
        <v>14</v>
      </c>
      <c r="E216" s="1" t="s">
        <v>15</v>
      </c>
      <c r="F216" s="1" t="s">
        <v>36</v>
      </c>
      <c r="G216" s="1">
        <v>47</v>
      </c>
      <c r="H216" s="1">
        <v>2.84</v>
      </c>
    </row>
    <row r="217" spans="1:8" x14ac:dyDescent="0.35">
      <c r="A217" s="1" t="s">
        <v>238</v>
      </c>
      <c r="B217" s="6">
        <v>45206</v>
      </c>
      <c r="C217" s="1" t="s">
        <v>292</v>
      </c>
      <c r="D217" s="1" t="s">
        <v>18</v>
      </c>
      <c r="E217" s="1" t="s">
        <v>15</v>
      </c>
      <c r="F217" s="1" t="s">
        <v>20</v>
      </c>
      <c r="G217" s="1">
        <v>175</v>
      </c>
      <c r="H217" s="1">
        <v>2.1800000000000002</v>
      </c>
    </row>
    <row r="218" spans="1:8" x14ac:dyDescent="0.35">
      <c r="A218" s="1" t="s">
        <v>239</v>
      </c>
      <c r="B218" s="6">
        <v>45209</v>
      </c>
      <c r="C218" s="1" t="s">
        <v>292</v>
      </c>
      <c r="D218" s="1" t="s">
        <v>18</v>
      </c>
      <c r="E218" s="1" t="s">
        <v>15</v>
      </c>
      <c r="F218" s="1" t="s">
        <v>16</v>
      </c>
      <c r="G218" s="1">
        <v>23</v>
      </c>
      <c r="H218" s="1">
        <v>1.87</v>
      </c>
    </row>
    <row r="219" spans="1:8" x14ac:dyDescent="0.35">
      <c r="A219" s="1" t="s">
        <v>240</v>
      </c>
      <c r="B219" s="6">
        <v>45212</v>
      </c>
      <c r="C219" s="1" t="s">
        <v>293</v>
      </c>
      <c r="D219" s="1" t="s">
        <v>42</v>
      </c>
      <c r="E219" s="1" t="s">
        <v>8</v>
      </c>
      <c r="F219" s="1" t="s">
        <v>9</v>
      </c>
      <c r="G219" s="1">
        <v>40</v>
      </c>
      <c r="H219" s="1">
        <v>1.77</v>
      </c>
    </row>
    <row r="220" spans="1:8" x14ac:dyDescent="0.35">
      <c r="A220" s="1" t="s">
        <v>241</v>
      </c>
      <c r="B220" s="6">
        <v>45215</v>
      </c>
      <c r="C220" s="1" t="s">
        <v>292</v>
      </c>
      <c r="D220" s="1" t="s">
        <v>7</v>
      </c>
      <c r="E220" s="1" t="s">
        <v>15</v>
      </c>
      <c r="F220" s="1" t="s">
        <v>20</v>
      </c>
      <c r="G220" s="1">
        <v>87</v>
      </c>
      <c r="H220" s="1">
        <v>2.1800000000000002</v>
      </c>
    </row>
    <row r="221" spans="1:8" x14ac:dyDescent="0.35">
      <c r="A221" s="1" t="s">
        <v>242</v>
      </c>
      <c r="B221" s="6">
        <v>45218</v>
      </c>
      <c r="C221" s="1" t="s">
        <v>292</v>
      </c>
      <c r="D221" s="1" t="s">
        <v>7</v>
      </c>
      <c r="E221" s="1" t="s">
        <v>8</v>
      </c>
      <c r="F221" s="1" t="s">
        <v>9</v>
      </c>
      <c r="G221" s="1">
        <v>43</v>
      </c>
      <c r="H221" s="1">
        <v>1.77</v>
      </c>
    </row>
    <row r="222" spans="1:8" x14ac:dyDescent="0.35">
      <c r="A222" s="1" t="s">
        <v>243</v>
      </c>
      <c r="B222" s="6">
        <v>45221</v>
      </c>
      <c r="C222" s="1" t="s">
        <v>292</v>
      </c>
      <c r="D222" s="1" t="s">
        <v>7</v>
      </c>
      <c r="E222" s="1" t="s">
        <v>11</v>
      </c>
      <c r="F222" s="1" t="s">
        <v>12</v>
      </c>
      <c r="G222" s="1">
        <v>30</v>
      </c>
      <c r="H222" s="1">
        <v>3.49</v>
      </c>
    </row>
    <row r="223" spans="1:8" x14ac:dyDescent="0.35">
      <c r="A223" s="1" t="s">
        <v>244</v>
      </c>
      <c r="B223" s="6">
        <v>45224</v>
      </c>
      <c r="C223" s="1" t="s">
        <v>293</v>
      </c>
      <c r="D223" s="1" t="s">
        <v>14</v>
      </c>
      <c r="E223" s="1" t="s">
        <v>8</v>
      </c>
      <c r="F223" s="1" t="s">
        <v>9</v>
      </c>
      <c r="G223" s="1">
        <v>35</v>
      </c>
      <c r="H223" s="1">
        <v>1.77</v>
      </c>
    </row>
    <row r="224" spans="1:8" x14ac:dyDescent="0.35">
      <c r="A224" s="1" t="s">
        <v>245</v>
      </c>
      <c r="B224" s="6">
        <v>45227</v>
      </c>
      <c r="C224" s="1" t="s">
        <v>292</v>
      </c>
      <c r="D224" s="1" t="s">
        <v>18</v>
      </c>
      <c r="E224" s="1" t="s">
        <v>8</v>
      </c>
      <c r="F224" s="1" t="s">
        <v>38</v>
      </c>
      <c r="G224" s="1">
        <v>57</v>
      </c>
      <c r="H224" s="1">
        <v>1.87</v>
      </c>
    </row>
    <row r="225" spans="1:8" x14ac:dyDescent="0.35">
      <c r="A225" s="1" t="s">
        <v>246</v>
      </c>
      <c r="B225" s="6">
        <v>45230</v>
      </c>
      <c r="C225" s="1" t="s">
        <v>292</v>
      </c>
      <c r="D225" s="1" t="s">
        <v>18</v>
      </c>
      <c r="E225" s="1" t="s">
        <v>26</v>
      </c>
      <c r="F225" s="1" t="s">
        <v>27</v>
      </c>
      <c r="G225" s="1">
        <v>25</v>
      </c>
      <c r="H225" s="1">
        <v>1.68</v>
      </c>
    </row>
    <row r="226" spans="1:8" x14ac:dyDescent="0.35">
      <c r="A226" s="1" t="s">
        <v>247</v>
      </c>
      <c r="B226" s="6">
        <v>45233</v>
      </c>
      <c r="C226" s="1" t="s">
        <v>293</v>
      </c>
      <c r="D226" s="1" t="s">
        <v>42</v>
      </c>
      <c r="E226" s="1" t="s">
        <v>15</v>
      </c>
      <c r="F226" s="1" t="s">
        <v>16</v>
      </c>
      <c r="G226" s="1">
        <v>24</v>
      </c>
      <c r="H226" s="1">
        <v>1.87</v>
      </c>
    </row>
    <row r="227" spans="1:8" x14ac:dyDescent="0.35">
      <c r="A227" s="1" t="s">
        <v>248</v>
      </c>
      <c r="B227" s="6">
        <v>45236</v>
      </c>
      <c r="C227" s="1" t="s">
        <v>292</v>
      </c>
      <c r="D227" s="1" t="s">
        <v>7</v>
      </c>
      <c r="E227" s="1" t="s">
        <v>8</v>
      </c>
      <c r="F227" s="1" t="s">
        <v>38</v>
      </c>
      <c r="G227" s="1">
        <v>83</v>
      </c>
      <c r="H227" s="1">
        <v>1.87</v>
      </c>
    </row>
    <row r="228" spans="1:8" x14ac:dyDescent="0.35">
      <c r="A228" s="1" t="s">
        <v>249</v>
      </c>
      <c r="B228" s="6">
        <v>45239</v>
      </c>
      <c r="C228" s="1" t="s">
        <v>292</v>
      </c>
      <c r="D228" s="1" t="s">
        <v>7</v>
      </c>
      <c r="E228" s="1" t="s">
        <v>15</v>
      </c>
      <c r="F228" s="1" t="s">
        <v>36</v>
      </c>
      <c r="G228" s="1">
        <v>124</v>
      </c>
      <c r="H228" s="1">
        <v>2.84</v>
      </c>
    </row>
    <row r="229" spans="1:8" x14ac:dyDescent="0.35">
      <c r="A229" s="1" t="s">
        <v>250</v>
      </c>
      <c r="B229" s="6">
        <v>45242</v>
      </c>
      <c r="C229" s="1" t="s">
        <v>293</v>
      </c>
      <c r="D229" s="1" t="s">
        <v>14</v>
      </c>
      <c r="E229" s="1" t="s">
        <v>8</v>
      </c>
      <c r="F229" s="1" t="s">
        <v>9</v>
      </c>
      <c r="G229" s="1">
        <v>137</v>
      </c>
      <c r="H229" s="1">
        <v>1.77</v>
      </c>
    </row>
    <row r="230" spans="1:8" x14ac:dyDescent="0.35">
      <c r="A230" s="1" t="s">
        <v>251</v>
      </c>
      <c r="B230" s="6">
        <v>45245</v>
      </c>
      <c r="C230" s="1" t="s">
        <v>292</v>
      </c>
      <c r="D230" s="1" t="s">
        <v>18</v>
      </c>
      <c r="E230" s="1" t="s">
        <v>15</v>
      </c>
      <c r="F230" s="1" t="s">
        <v>20</v>
      </c>
      <c r="G230" s="1">
        <v>146</v>
      </c>
      <c r="H230" s="1">
        <v>2.1800000000000002</v>
      </c>
    </row>
    <row r="231" spans="1:8" x14ac:dyDescent="0.35">
      <c r="A231" s="1" t="s">
        <v>252</v>
      </c>
      <c r="B231" s="6">
        <v>45248</v>
      </c>
      <c r="C231" s="1" t="s">
        <v>292</v>
      </c>
      <c r="D231" s="1" t="s">
        <v>18</v>
      </c>
      <c r="E231" s="1" t="s">
        <v>15</v>
      </c>
      <c r="F231" s="1" t="s">
        <v>16</v>
      </c>
      <c r="G231" s="1">
        <v>34</v>
      </c>
      <c r="H231" s="1">
        <v>1.87</v>
      </c>
    </row>
    <row r="232" spans="1:8" x14ac:dyDescent="0.35">
      <c r="A232" s="1" t="s">
        <v>253</v>
      </c>
      <c r="B232" s="6">
        <v>45251</v>
      </c>
      <c r="C232" s="1" t="s">
        <v>293</v>
      </c>
      <c r="D232" s="1" t="s">
        <v>42</v>
      </c>
      <c r="E232" s="1" t="s">
        <v>8</v>
      </c>
      <c r="F232" s="1" t="s">
        <v>9</v>
      </c>
      <c r="G232" s="1">
        <v>20</v>
      </c>
      <c r="H232" s="1">
        <v>1.77</v>
      </c>
    </row>
    <row r="233" spans="1:8" x14ac:dyDescent="0.35">
      <c r="A233" s="1" t="s">
        <v>254</v>
      </c>
      <c r="B233" s="6">
        <v>45254</v>
      </c>
      <c r="C233" s="1" t="s">
        <v>292</v>
      </c>
      <c r="D233" s="1" t="s">
        <v>7</v>
      </c>
      <c r="E233" s="1" t="s">
        <v>15</v>
      </c>
      <c r="F233" s="1" t="s">
        <v>20</v>
      </c>
      <c r="G233" s="1">
        <v>139</v>
      </c>
      <c r="H233" s="1">
        <v>2.1800000000000002</v>
      </c>
    </row>
    <row r="234" spans="1:8" x14ac:dyDescent="0.35">
      <c r="A234" s="1" t="s">
        <v>255</v>
      </c>
      <c r="B234" s="6">
        <v>45257</v>
      </c>
      <c r="C234" s="1" t="s">
        <v>292</v>
      </c>
      <c r="D234" s="1" t="s">
        <v>7</v>
      </c>
      <c r="E234" s="1" t="s">
        <v>15</v>
      </c>
      <c r="F234" s="1" t="s">
        <v>16</v>
      </c>
      <c r="G234" s="1">
        <v>211</v>
      </c>
      <c r="H234" s="1">
        <v>1.87</v>
      </c>
    </row>
    <row r="235" spans="1:8" x14ac:dyDescent="0.35">
      <c r="A235" s="1" t="s">
        <v>256</v>
      </c>
      <c r="B235" s="6">
        <v>45260</v>
      </c>
      <c r="C235" s="1" t="s">
        <v>292</v>
      </c>
      <c r="D235" s="1" t="s">
        <v>7</v>
      </c>
      <c r="E235" s="1" t="s">
        <v>11</v>
      </c>
      <c r="F235" s="1" t="s">
        <v>12</v>
      </c>
      <c r="G235" s="1">
        <v>20</v>
      </c>
      <c r="H235" s="1">
        <v>3.49</v>
      </c>
    </row>
    <row r="236" spans="1:8" x14ac:dyDescent="0.35">
      <c r="A236" s="1" t="s">
        <v>257</v>
      </c>
      <c r="B236" s="6">
        <v>45263</v>
      </c>
      <c r="C236" s="1" t="s">
        <v>293</v>
      </c>
      <c r="D236" s="1" t="s">
        <v>14</v>
      </c>
      <c r="E236" s="1" t="s">
        <v>8</v>
      </c>
      <c r="F236" s="1" t="s">
        <v>38</v>
      </c>
      <c r="G236" s="1">
        <v>42</v>
      </c>
      <c r="H236" s="1">
        <v>1.87</v>
      </c>
    </row>
    <row r="237" spans="1:8" x14ac:dyDescent="0.35">
      <c r="A237" s="1" t="s">
        <v>258</v>
      </c>
      <c r="B237" s="6">
        <v>45266</v>
      </c>
      <c r="C237" s="1" t="s">
        <v>293</v>
      </c>
      <c r="D237" s="1" t="s">
        <v>14</v>
      </c>
      <c r="E237" s="1" t="s">
        <v>15</v>
      </c>
      <c r="F237" s="1" t="s">
        <v>36</v>
      </c>
      <c r="G237" s="1">
        <v>100</v>
      </c>
      <c r="H237" s="1">
        <v>2.84</v>
      </c>
    </row>
    <row r="238" spans="1:8" x14ac:dyDescent="0.35">
      <c r="A238" s="1" t="s">
        <v>259</v>
      </c>
      <c r="B238" s="6">
        <v>45269</v>
      </c>
      <c r="C238" s="1" t="s">
        <v>292</v>
      </c>
      <c r="D238" s="1" t="s">
        <v>18</v>
      </c>
      <c r="E238" s="1" t="s">
        <v>8</v>
      </c>
      <c r="F238" s="1" t="s">
        <v>9</v>
      </c>
      <c r="G238" s="1">
        <v>38</v>
      </c>
      <c r="H238" s="1">
        <v>1.77</v>
      </c>
    </row>
    <row r="239" spans="1:8" x14ac:dyDescent="0.35">
      <c r="A239" s="1" t="s">
        <v>260</v>
      </c>
      <c r="B239" s="6">
        <v>45272</v>
      </c>
      <c r="C239" s="1" t="s">
        <v>292</v>
      </c>
      <c r="D239" s="1" t="s">
        <v>18</v>
      </c>
      <c r="E239" s="1" t="s">
        <v>11</v>
      </c>
      <c r="F239" s="1" t="s">
        <v>12</v>
      </c>
      <c r="G239" s="1">
        <v>25</v>
      </c>
      <c r="H239" s="1">
        <v>3.49</v>
      </c>
    </row>
    <row r="240" spans="1:8" x14ac:dyDescent="0.35">
      <c r="A240" s="1" t="s">
        <v>261</v>
      </c>
      <c r="B240" s="6">
        <v>45275</v>
      </c>
      <c r="C240" s="1" t="s">
        <v>293</v>
      </c>
      <c r="D240" s="1" t="s">
        <v>42</v>
      </c>
      <c r="E240" s="1" t="s">
        <v>15</v>
      </c>
      <c r="F240" s="1" t="s">
        <v>16</v>
      </c>
      <c r="G240" s="1">
        <v>96</v>
      </c>
      <c r="H240" s="1">
        <v>1.87</v>
      </c>
    </row>
    <row r="241" spans="1:8" x14ac:dyDescent="0.35">
      <c r="A241" s="1" t="s">
        <v>262</v>
      </c>
      <c r="B241" s="6">
        <v>45278</v>
      </c>
      <c r="C241" s="1" t="s">
        <v>292</v>
      </c>
      <c r="D241" s="1" t="s">
        <v>7</v>
      </c>
      <c r="E241" s="1" t="s">
        <v>15</v>
      </c>
      <c r="F241" s="1" t="s">
        <v>20</v>
      </c>
      <c r="G241" s="1">
        <v>34</v>
      </c>
      <c r="H241" s="1">
        <v>2.1800000000000002</v>
      </c>
    </row>
    <row r="242" spans="1:8" x14ac:dyDescent="0.35">
      <c r="A242" s="1" t="s">
        <v>263</v>
      </c>
      <c r="B242" s="6">
        <v>45281</v>
      </c>
      <c r="C242" s="1" t="s">
        <v>292</v>
      </c>
      <c r="D242" s="1" t="s">
        <v>7</v>
      </c>
      <c r="E242" s="1" t="s">
        <v>15</v>
      </c>
      <c r="F242" s="1" t="s">
        <v>16</v>
      </c>
      <c r="G242" s="1">
        <v>245</v>
      </c>
      <c r="H242" s="1">
        <v>1.87</v>
      </c>
    </row>
    <row r="243" spans="1:8" x14ac:dyDescent="0.35">
      <c r="A243" s="1" t="s">
        <v>264</v>
      </c>
      <c r="B243" s="6">
        <v>45284</v>
      </c>
      <c r="C243" s="1" t="s">
        <v>292</v>
      </c>
      <c r="D243" s="1" t="s">
        <v>7</v>
      </c>
      <c r="E243" s="1" t="s">
        <v>11</v>
      </c>
      <c r="F243" s="1" t="s">
        <v>12</v>
      </c>
      <c r="G243" s="1">
        <v>30</v>
      </c>
      <c r="H243" s="1">
        <v>3.49</v>
      </c>
    </row>
    <row r="244" spans="1:8" x14ac:dyDescent="0.35">
      <c r="A244" s="1" t="s">
        <v>265</v>
      </c>
      <c r="B244" s="6">
        <v>45287</v>
      </c>
      <c r="C244" s="1" t="s">
        <v>293</v>
      </c>
      <c r="D244" s="1" t="s">
        <v>14</v>
      </c>
      <c r="E244" s="1" t="s">
        <v>8</v>
      </c>
      <c r="F244" s="1" t="s">
        <v>38</v>
      </c>
      <c r="G244" s="1">
        <v>30</v>
      </c>
      <c r="H244" s="1">
        <v>1.87</v>
      </c>
    </row>
    <row r="245" spans="1:8" x14ac:dyDescent="0.35">
      <c r="A245" s="1" t="s">
        <v>266</v>
      </c>
      <c r="B245" s="6">
        <v>45290</v>
      </c>
      <c r="C245" s="1" t="s">
        <v>293</v>
      </c>
      <c r="D245" s="1" t="s">
        <v>14</v>
      </c>
      <c r="E245" s="1" t="s">
        <v>15</v>
      </c>
      <c r="F245" s="1" t="s">
        <v>36</v>
      </c>
      <c r="G245" s="1">
        <v>44</v>
      </c>
      <c r="H245" s="1">
        <v>2.84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5F62-8CCE-4A30-B7E9-48D725F86A87}">
  <dimension ref="A1:M245"/>
  <sheetViews>
    <sheetView workbookViewId="0">
      <selection activeCell="N18" sqref="N18"/>
    </sheetView>
  </sheetViews>
  <sheetFormatPr defaultRowHeight="14.5" x14ac:dyDescent="0.35"/>
  <cols>
    <col min="1" max="1" width="8.7265625" customWidth="1"/>
    <col min="2" max="2" width="10.08984375" bestFit="1" customWidth="1"/>
    <col min="3" max="5" width="10.08984375" customWidth="1"/>
    <col min="6" max="6" width="13.36328125" customWidth="1"/>
    <col min="7" max="7" width="10.36328125" style="1" bestFit="1" customWidth="1"/>
    <col min="8" max="8" width="15.36328125" bestFit="1" customWidth="1"/>
    <col min="9" max="9" width="17.54296875" customWidth="1"/>
    <col min="10" max="10" width="14.36328125" customWidth="1"/>
    <col min="11" max="11" width="10" customWidth="1"/>
    <col min="12" max="12" width="11.453125" customWidth="1"/>
    <col min="13" max="13" width="10.08984375" style="1" customWidth="1"/>
    <col min="14" max="14" width="10.453125" customWidth="1"/>
  </cols>
  <sheetData>
    <row r="1" spans="1:13" x14ac:dyDescent="0.35">
      <c r="A1" s="3" t="s">
        <v>0</v>
      </c>
      <c r="B1" s="3" t="s">
        <v>309</v>
      </c>
      <c r="C1" s="7" t="s">
        <v>267</v>
      </c>
      <c r="D1" s="7" t="s">
        <v>310</v>
      </c>
      <c r="E1" s="3" t="s">
        <v>268</v>
      </c>
      <c r="F1" s="3" t="s">
        <v>290</v>
      </c>
      <c r="G1" s="3" t="s">
        <v>291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269</v>
      </c>
    </row>
    <row r="2" spans="1:13" x14ac:dyDescent="0.35">
      <c r="A2" s="1" t="s">
        <v>6</v>
      </c>
      <c r="B2" s="6">
        <v>44562</v>
      </c>
      <c r="C2" s="2">
        <v>1</v>
      </c>
      <c r="D2" s="2">
        <v>1</v>
      </c>
      <c r="E2" s="1">
        <v>2022</v>
      </c>
      <c r="F2" s="1" t="s">
        <v>297</v>
      </c>
      <c r="G2" s="1" t="s">
        <v>292</v>
      </c>
      <c r="H2" s="1" t="s">
        <v>7</v>
      </c>
      <c r="I2" s="1" t="s">
        <v>8</v>
      </c>
      <c r="J2" s="1" t="s">
        <v>9</v>
      </c>
      <c r="K2" s="1">
        <v>33</v>
      </c>
      <c r="L2" s="1">
        <v>1.77</v>
      </c>
      <c r="M2" s="1">
        <f>K2*L2</f>
        <v>58.410000000000004</v>
      </c>
    </row>
    <row r="3" spans="1:13" x14ac:dyDescent="0.35">
      <c r="A3" s="1" t="s">
        <v>10</v>
      </c>
      <c r="B3" s="6">
        <v>44565</v>
      </c>
      <c r="C3" s="2">
        <v>1</v>
      </c>
      <c r="D3" s="2">
        <v>4</v>
      </c>
      <c r="E3" s="1">
        <v>2022</v>
      </c>
      <c r="F3" s="1" t="s">
        <v>297</v>
      </c>
      <c r="G3" s="1" t="s">
        <v>292</v>
      </c>
      <c r="H3" s="1" t="s">
        <v>7</v>
      </c>
      <c r="I3" s="1" t="s">
        <v>11</v>
      </c>
      <c r="J3" s="1" t="s">
        <v>12</v>
      </c>
      <c r="K3" s="1">
        <v>87</v>
      </c>
      <c r="L3" s="1">
        <v>3.49</v>
      </c>
      <c r="M3" s="1">
        <f t="shared" ref="M3:M66" si="0">K3*L3</f>
        <v>303.63</v>
      </c>
    </row>
    <row r="4" spans="1:13" x14ac:dyDescent="0.35">
      <c r="A4" s="1" t="s">
        <v>13</v>
      </c>
      <c r="B4" s="6">
        <v>44568</v>
      </c>
      <c r="C4" s="2">
        <v>1</v>
      </c>
      <c r="D4" s="2">
        <v>7</v>
      </c>
      <c r="E4" s="1">
        <v>2022</v>
      </c>
      <c r="F4" s="1" t="s">
        <v>297</v>
      </c>
      <c r="G4" s="1" t="s">
        <v>293</v>
      </c>
      <c r="H4" s="1" t="s">
        <v>14</v>
      </c>
      <c r="I4" s="1" t="s">
        <v>15</v>
      </c>
      <c r="J4" s="1" t="s">
        <v>16</v>
      </c>
      <c r="K4" s="1">
        <v>58</v>
      </c>
      <c r="L4" s="1">
        <v>1.87</v>
      </c>
      <c r="M4" s="1">
        <f t="shared" si="0"/>
        <v>108.46000000000001</v>
      </c>
    </row>
    <row r="5" spans="1:13" x14ac:dyDescent="0.35">
      <c r="A5" s="1" t="s">
        <v>17</v>
      </c>
      <c r="B5" s="6">
        <v>44571</v>
      </c>
      <c r="C5" s="2">
        <v>1</v>
      </c>
      <c r="D5" s="2">
        <v>10</v>
      </c>
      <c r="E5" s="1">
        <v>2022</v>
      </c>
      <c r="F5" s="1" t="s">
        <v>297</v>
      </c>
      <c r="G5" s="1" t="s">
        <v>292</v>
      </c>
      <c r="H5" s="1" t="s">
        <v>18</v>
      </c>
      <c r="I5" s="1" t="s">
        <v>15</v>
      </c>
      <c r="J5" s="1" t="s">
        <v>16</v>
      </c>
      <c r="K5" s="1">
        <v>82</v>
      </c>
      <c r="L5" s="1">
        <v>1.87</v>
      </c>
      <c r="M5" s="1">
        <f t="shared" si="0"/>
        <v>153.34</v>
      </c>
    </row>
    <row r="6" spans="1:13" x14ac:dyDescent="0.35">
      <c r="A6" s="1" t="s">
        <v>19</v>
      </c>
      <c r="B6" s="6">
        <v>44574</v>
      </c>
      <c r="C6" s="2">
        <v>1</v>
      </c>
      <c r="D6" s="2">
        <v>13</v>
      </c>
      <c r="E6" s="1">
        <v>2022</v>
      </c>
      <c r="F6" s="1" t="s">
        <v>297</v>
      </c>
      <c r="G6" s="1" t="s">
        <v>292</v>
      </c>
      <c r="H6" s="1" t="s">
        <v>7</v>
      </c>
      <c r="I6" s="1" t="s">
        <v>15</v>
      </c>
      <c r="J6" s="1" t="s">
        <v>20</v>
      </c>
      <c r="K6" s="1">
        <v>38</v>
      </c>
      <c r="L6" s="1">
        <v>2.1800000000000002</v>
      </c>
      <c r="M6" s="1">
        <f t="shared" si="0"/>
        <v>82.84</v>
      </c>
    </row>
    <row r="7" spans="1:13" x14ac:dyDescent="0.35">
      <c r="A7" s="1" t="s">
        <v>21</v>
      </c>
      <c r="B7" s="6">
        <v>44577</v>
      </c>
      <c r="C7" s="2">
        <v>1</v>
      </c>
      <c r="D7" s="2">
        <v>16</v>
      </c>
      <c r="E7" s="1">
        <v>2022</v>
      </c>
      <c r="F7" s="1" t="s">
        <v>297</v>
      </c>
      <c r="G7" s="1" t="s">
        <v>292</v>
      </c>
      <c r="H7" s="1" t="s">
        <v>7</v>
      </c>
      <c r="I7" s="1" t="s">
        <v>8</v>
      </c>
      <c r="J7" s="1" t="s">
        <v>9</v>
      </c>
      <c r="K7" s="1">
        <v>54</v>
      </c>
      <c r="L7" s="1">
        <v>1.77</v>
      </c>
      <c r="M7" s="1">
        <f t="shared" si="0"/>
        <v>95.58</v>
      </c>
    </row>
    <row r="8" spans="1:13" x14ac:dyDescent="0.35">
      <c r="A8" s="1" t="s">
        <v>22</v>
      </c>
      <c r="B8" s="6">
        <v>44580</v>
      </c>
      <c r="C8" s="2">
        <v>1</v>
      </c>
      <c r="D8" s="2">
        <v>19</v>
      </c>
      <c r="E8" s="1">
        <v>2022</v>
      </c>
      <c r="F8" s="1" t="s">
        <v>297</v>
      </c>
      <c r="G8" s="1" t="s">
        <v>292</v>
      </c>
      <c r="H8" s="1" t="s">
        <v>7</v>
      </c>
      <c r="I8" s="1" t="s">
        <v>11</v>
      </c>
      <c r="J8" s="1" t="s">
        <v>12</v>
      </c>
      <c r="K8" s="1">
        <v>149</v>
      </c>
      <c r="L8" s="1">
        <v>3.49</v>
      </c>
      <c r="M8" s="1">
        <f t="shared" si="0"/>
        <v>520.01</v>
      </c>
    </row>
    <row r="9" spans="1:13" x14ac:dyDescent="0.35">
      <c r="A9" s="1" t="s">
        <v>23</v>
      </c>
      <c r="B9" s="6">
        <v>44583</v>
      </c>
      <c r="C9" s="2">
        <v>1</v>
      </c>
      <c r="D9" s="2">
        <v>22</v>
      </c>
      <c r="E9" s="1">
        <v>2022</v>
      </c>
      <c r="F9" s="1" t="s">
        <v>297</v>
      </c>
      <c r="G9" s="1" t="s">
        <v>293</v>
      </c>
      <c r="H9" s="1" t="s">
        <v>14</v>
      </c>
      <c r="I9" s="1" t="s">
        <v>8</v>
      </c>
      <c r="J9" s="1" t="s">
        <v>9</v>
      </c>
      <c r="K9" s="1">
        <v>51</v>
      </c>
      <c r="L9" s="1">
        <v>1.77</v>
      </c>
      <c r="M9" s="1">
        <f t="shared" si="0"/>
        <v>90.27</v>
      </c>
    </row>
    <row r="10" spans="1:13" x14ac:dyDescent="0.35">
      <c r="A10" s="1" t="s">
        <v>24</v>
      </c>
      <c r="B10" s="6">
        <v>44586</v>
      </c>
      <c r="C10" s="2">
        <v>1</v>
      </c>
      <c r="D10" s="2">
        <v>25</v>
      </c>
      <c r="E10" s="1">
        <v>2022</v>
      </c>
      <c r="F10" s="1" t="s">
        <v>297</v>
      </c>
      <c r="G10" s="1" t="s">
        <v>292</v>
      </c>
      <c r="H10" s="1" t="s">
        <v>18</v>
      </c>
      <c r="I10" s="1" t="s">
        <v>8</v>
      </c>
      <c r="J10" s="1" t="s">
        <v>9</v>
      </c>
      <c r="K10" s="1">
        <v>100</v>
      </c>
      <c r="L10" s="1">
        <v>1.77</v>
      </c>
      <c r="M10" s="1">
        <f t="shared" si="0"/>
        <v>177</v>
      </c>
    </row>
    <row r="11" spans="1:13" x14ac:dyDescent="0.35">
      <c r="A11" s="1" t="s">
        <v>25</v>
      </c>
      <c r="B11" s="6">
        <v>44589</v>
      </c>
      <c r="C11" s="2">
        <v>1</v>
      </c>
      <c r="D11" s="2">
        <v>28</v>
      </c>
      <c r="E11" s="1">
        <v>2022</v>
      </c>
      <c r="F11" s="1" t="s">
        <v>297</v>
      </c>
      <c r="G11" s="1" t="s">
        <v>292</v>
      </c>
      <c r="H11" s="1" t="s">
        <v>18</v>
      </c>
      <c r="I11" s="1" t="s">
        <v>26</v>
      </c>
      <c r="J11" s="1" t="s">
        <v>27</v>
      </c>
      <c r="K11" s="1">
        <v>28</v>
      </c>
      <c r="L11" s="1">
        <v>1.35</v>
      </c>
      <c r="M11" s="1">
        <f t="shared" si="0"/>
        <v>37.800000000000004</v>
      </c>
    </row>
    <row r="12" spans="1:13" x14ac:dyDescent="0.35">
      <c r="A12" s="1" t="s">
        <v>28</v>
      </c>
      <c r="B12" s="6">
        <v>44592</v>
      </c>
      <c r="C12" s="2">
        <v>1</v>
      </c>
      <c r="D12" s="2">
        <v>31</v>
      </c>
      <c r="E12" s="1">
        <v>2022</v>
      </c>
      <c r="F12" s="1" t="s">
        <v>297</v>
      </c>
      <c r="G12" s="1" t="s">
        <v>292</v>
      </c>
      <c r="H12" s="1" t="s">
        <v>7</v>
      </c>
      <c r="I12" s="1" t="s">
        <v>15</v>
      </c>
      <c r="J12" s="1" t="s">
        <v>20</v>
      </c>
      <c r="K12" s="1">
        <v>36</v>
      </c>
      <c r="L12" s="1">
        <v>2.1800000000000002</v>
      </c>
      <c r="M12" s="1">
        <f t="shared" si="0"/>
        <v>78.48</v>
      </c>
    </row>
    <row r="13" spans="1:13" x14ac:dyDescent="0.35">
      <c r="A13" s="1" t="s">
        <v>29</v>
      </c>
      <c r="B13" s="6">
        <v>44595</v>
      </c>
      <c r="C13" s="2">
        <v>2</v>
      </c>
      <c r="D13" s="2">
        <v>3</v>
      </c>
      <c r="E13" s="1">
        <v>2022</v>
      </c>
      <c r="F13" s="1" t="s">
        <v>298</v>
      </c>
      <c r="G13" s="1" t="s">
        <v>292</v>
      </c>
      <c r="H13" s="1" t="s">
        <v>7</v>
      </c>
      <c r="I13" s="1" t="s">
        <v>15</v>
      </c>
      <c r="J13" s="1" t="s">
        <v>16</v>
      </c>
      <c r="K13" s="1">
        <v>31</v>
      </c>
      <c r="L13" s="1">
        <v>1.87</v>
      </c>
      <c r="M13" s="1">
        <f t="shared" si="0"/>
        <v>57.970000000000006</v>
      </c>
    </row>
    <row r="14" spans="1:13" x14ac:dyDescent="0.35">
      <c r="A14" s="1" t="s">
        <v>30</v>
      </c>
      <c r="B14" s="6">
        <v>44598</v>
      </c>
      <c r="C14" s="2">
        <v>2</v>
      </c>
      <c r="D14" s="2">
        <v>6</v>
      </c>
      <c r="E14" s="1">
        <v>2022</v>
      </c>
      <c r="F14" s="1" t="s">
        <v>298</v>
      </c>
      <c r="G14" s="1" t="s">
        <v>292</v>
      </c>
      <c r="H14" s="1" t="s">
        <v>7</v>
      </c>
      <c r="I14" s="1" t="s">
        <v>11</v>
      </c>
      <c r="J14" s="1" t="s">
        <v>12</v>
      </c>
      <c r="K14" s="1">
        <v>28</v>
      </c>
      <c r="L14" s="1">
        <v>3.49</v>
      </c>
      <c r="M14" s="1">
        <f t="shared" si="0"/>
        <v>97.72</v>
      </c>
    </row>
    <row r="15" spans="1:13" x14ac:dyDescent="0.35">
      <c r="A15" s="1" t="s">
        <v>31</v>
      </c>
      <c r="B15" s="6">
        <v>44601</v>
      </c>
      <c r="C15" s="2">
        <v>2</v>
      </c>
      <c r="D15" s="2">
        <v>9</v>
      </c>
      <c r="E15" s="1">
        <v>2022</v>
      </c>
      <c r="F15" s="1" t="s">
        <v>298</v>
      </c>
      <c r="G15" s="1" t="s">
        <v>293</v>
      </c>
      <c r="H15" s="1" t="s">
        <v>14</v>
      </c>
      <c r="I15" s="1" t="s">
        <v>8</v>
      </c>
      <c r="J15" s="1" t="s">
        <v>9</v>
      </c>
      <c r="K15" s="1">
        <v>44</v>
      </c>
      <c r="L15" s="1">
        <v>1.77</v>
      </c>
      <c r="M15" s="1">
        <f t="shared" si="0"/>
        <v>77.88</v>
      </c>
    </row>
    <row r="16" spans="1:13" x14ac:dyDescent="0.35">
      <c r="A16" s="1" t="s">
        <v>32</v>
      </c>
      <c r="B16" s="6">
        <v>44604</v>
      </c>
      <c r="C16" s="2">
        <v>2</v>
      </c>
      <c r="D16" s="2">
        <v>12</v>
      </c>
      <c r="E16" s="1">
        <v>2022</v>
      </c>
      <c r="F16" s="1" t="s">
        <v>298</v>
      </c>
      <c r="G16" s="1" t="s">
        <v>292</v>
      </c>
      <c r="H16" s="1" t="s">
        <v>18</v>
      </c>
      <c r="I16" s="1" t="s">
        <v>8</v>
      </c>
      <c r="J16" s="1" t="s">
        <v>9</v>
      </c>
      <c r="K16" s="1">
        <v>23</v>
      </c>
      <c r="L16" s="1">
        <v>1.77</v>
      </c>
      <c r="M16" s="1">
        <f t="shared" si="0"/>
        <v>40.71</v>
      </c>
    </row>
    <row r="17" spans="1:13" x14ac:dyDescent="0.35">
      <c r="A17" s="1" t="s">
        <v>33</v>
      </c>
      <c r="B17" s="6">
        <v>44607</v>
      </c>
      <c r="C17" s="2">
        <v>2</v>
      </c>
      <c r="D17" s="2">
        <v>15</v>
      </c>
      <c r="E17" s="1">
        <v>2022</v>
      </c>
      <c r="F17" s="1" t="s">
        <v>298</v>
      </c>
      <c r="G17" s="1" t="s">
        <v>292</v>
      </c>
      <c r="H17" s="1" t="s">
        <v>18</v>
      </c>
      <c r="I17" s="1" t="s">
        <v>26</v>
      </c>
      <c r="J17" s="1" t="s">
        <v>27</v>
      </c>
      <c r="K17" s="1">
        <v>27</v>
      </c>
      <c r="L17" s="1">
        <v>1.35</v>
      </c>
      <c r="M17" s="1">
        <f t="shared" si="0"/>
        <v>36.450000000000003</v>
      </c>
    </row>
    <row r="18" spans="1:13" x14ac:dyDescent="0.35">
      <c r="A18" s="1" t="s">
        <v>34</v>
      </c>
      <c r="B18" s="6">
        <v>44610</v>
      </c>
      <c r="C18" s="2">
        <v>2</v>
      </c>
      <c r="D18" s="2">
        <v>18</v>
      </c>
      <c r="E18" s="1">
        <v>2022</v>
      </c>
      <c r="F18" s="1" t="s">
        <v>298</v>
      </c>
      <c r="G18" s="1" t="s">
        <v>292</v>
      </c>
      <c r="H18" s="1" t="s">
        <v>7</v>
      </c>
      <c r="I18" s="1" t="s">
        <v>15</v>
      </c>
      <c r="J18" s="1" t="s">
        <v>20</v>
      </c>
      <c r="K18" s="1">
        <v>43</v>
      </c>
      <c r="L18" s="1">
        <v>2.1800000000000002</v>
      </c>
      <c r="M18" s="1">
        <f t="shared" si="0"/>
        <v>93.740000000000009</v>
      </c>
    </row>
    <row r="19" spans="1:13" x14ac:dyDescent="0.35">
      <c r="A19" s="1" t="s">
        <v>35</v>
      </c>
      <c r="B19" s="6">
        <v>44613</v>
      </c>
      <c r="C19" s="2">
        <v>2</v>
      </c>
      <c r="D19" s="2">
        <v>21</v>
      </c>
      <c r="E19" s="1">
        <v>2022</v>
      </c>
      <c r="F19" s="1" t="s">
        <v>298</v>
      </c>
      <c r="G19" s="1" t="s">
        <v>292</v>
      </c>
      <c r="H19" s="1" t="s">
        <v>7</v>
      </c>
      <c r="I19" s="1" t="s">
        <v>15</v>
      </c>
      <c r="J19" s="1" t="s">
        <v>36</v>
      </c>
      <c r="K19" s="1">
        <v>123</v>
      </c>
      <c r="L19" s="1">
        <v>2.84</v>
      </c>
      <c r="M19" s="1">
        <f t="shared" si="0"/>
        <v>349.32</v>
      </c>
    </row>
    <row r="20" spans="1:13" x14ac:dyDescent="0.35">
      <c r="A20" s="1" t="s">
        <v>37</v>
      </c>
      <c r="B20" s="6">
        <v>44616</v>
      </c>
      <c r="C20" s="2">
        <v>2</v>
      </c>
      <c r="D20" s="2">
        <v>24</v>
      </c>
      <c r="E20" s="1">
        <v>2022</v>
      </c>
      <c r="F20" s="1" t="s">
        <v>298</v>
      </c>
      <c r="G20" s="1" t="s">
        <v>293</v>
      </c>
      <c r="H20" s="1" t="s">
        <v>14</v>
      </c>
      <c r="I20" s="1" t="s">
        <v>8</v>
      </c>
      <c r="J20" s="1" t="s">
        <v>38</v>
      </c>
      <c r="K20" s="1">
        <v>42</v>
      </c>
      <c r="L20" s="1">
        <v>1.87</v>
      </c>
      <c r="M20" s="1">
        <f t="shared" si="0"/>
        <v>78.540000000000006</v>
      </c>
    </row>
    <row r="21" spans="1:13" x14ac:dyDescent="0.35">
      <c r="A21" s="1" t="s">
        <v>39</v>
      </c>
      <c r="B21" s="6">
        <v>44619</v>
      </c>
      <c r="C21" s="2">
        <v>2</v>
      </c>
      <c r="D21" s="2">
        <v>27</v>
      </c>
      <c r="E21" s="1">
        <v>2022</v>
      </c>
      <c r="F21" s="1" t="s">
        <v>298</v>
      </c>
      <c r="G21" s="1" t="s">
        <v>293</v>
      </c>
      <c r="H21" s="1" t="s">
        <v>14</v>
      </c>
      <c r="I21" s="1" t="s">
        <v>15</v>
      </c>
      <c r="J21" s="1" t="s">
        <v>36</v>
      </c>
      <c r="K21" s="1">
        <v>33</v>
      </c>
      <c r="L21" s="1">
        <v>2.84</v>
      </c>
      <c r="M21" s="1">
        <f t="shared" si="0"/>
        <v>93.72</v>
      </c>
    </row>
    <row r="22" spans="1:13" x14ac:dyDescent="0.35">
      <c r="A22" s="1" t="s">
        <v>40</v>
      </c>
      <c r="B22" s="6">
        <v>44622</v>
      </c>
      <c r="C22" s="2">
        <v>3</v>
      </c>
      <c r="D22" s="2">
        <v>2</v>
      </c>
      <c r="E22" s="1">
        <v>2022</v>
      </c>
      <c r="F22" s="1" t="s">
        <v>299</v>
      </c>
      <c r="G22" s="1" t="s">
        <v>292</v>
      </c>
      <c r="H22" s="1" t="s">
        <v>18</v>
      </c>
      <c r="I22" s="1" t="s">
        <v>15</v>
      </c>
      <c r="J22" s="1" t="s">
        <v>16</v>
      </c>
      <c r="K22" s="1">
        <v>85</v>
      </c>
      <c r="L22" s="1">
        <v>1.87</v>
      </c>
      <c r="M22" s="1">
        <f t="shared" si="0"/>
        <v>158.95000000000002</v>
      </c>
    </row>
    <row r="23" spans="1:13" x14ac:dyDescent="0.35">
      <c r="A23" s="1" t="s">
        <v>41</v>
      </c>
      <c r="B23" s="6">
        <v>44625</v>
      </c>
      <c r="C23" s="2">
        <v>3</v>
      </c>
      <c r="D23" s="2">
        <v>5</v>
      </c>
      <c r="E23" s="1">
        <v>2022</v>
      </c>
      <c r="F23" s="1" t="s">
        <v>299</v>
      </c>
      <c r="G23" s="1" t="s">
        <v>293</v>
      </c>
      <c r="H23" s="1" t="s">
        <v>42</v>
      </c>
      <c r="I23" s="1" t="s">
        <v>15</v>
      </c>
      <c r="J23" s="1" t="s">
        <v>36</v>
      </c>
      <c r="K23" s="1">
        <v>30</v>
      </c>
      <c r="L23" s="1">
        <v>2.84</v>
      </c>
      <c r="M23" s="1">
        <f t="shared" si="0"/>
        <v>85.199999999999989</v>
      </c>
    </row>
    <row r="24" spans="1:13" x14ac:dyDescent="0.35">
      <c r="A24" s="1" t="s">
        <v>43</v>
      </c>
      <c r="B24" s="6">
        <v>44628</v>
      </c>
      <c r="C24" s="2">
        <v>3</v>
      </c>
      <c r="D24" s="2">
        <v>8</v>
      </c>
      <c r="E24" s="1">
        <v>2022</v>
      </c>
      <c r="F24" s="1" t="s">
        <v>299</v>
      </c>
      <c r="G24" s="1" t="s">
        <v>292</v>
      </c>
      <c r="H24" s="1" t="s">
        <v>7</v>
      </c>
      <c r="I24" s="1" t="s">
        <v>8</v>
      </c>
      <c r="J24" s="1" t="s">
        <v>9</v>
      </c>
      <c r="K24" s="1">
        <v>61</v>
      </c>
      <c r="L24" s="1">
        <v>1.77</v>
      </c>
      <c r="M24" s="1">
        <f t="shared" si="0"/>
        <v>107.97</v>
      </c>
    </row>
    <row r="25" spans="1:13" x14ac:dyDescent="0.35">
      <c r="A25" s="1" t="s">
        <v>44</v>
      </c>
      <c r="B25" s="6">
        <v>44631</v>
      </c>
      <c r="C25" s="2">
        <v>3</v>
      </c>
      <c r="D25" s="2">
        <v>11</v>
      </c>
      <c r="E25" s="1">
        <v>2022</v>
      </c>
      <c r="F25" s="1" t="s">
        <v>299</v>
      </c>
      <c r="G25" s="1" t="s">
        <v>292</v>
      </c>
      <c r="H25" s="1" t="s">
        <v>7</v>
      </c>
      <c r="I25" s="1" t="s">
        <v>11</v>
      </c>
      <c r="J25" s="1" t="s">
        <v>12</v>
      </c>
      <c r="K25" s="1">
        <v>40</v>
      </c>
      <c r="L25" s="1">
        <v>3.49</v>
      </c>
      <c r="M25" s="1">
        <f t="shared" si="0"/>
        <v>139.60000000000002</v>
      </c>
    </row>
    <row r="26" spans="1:13" x14ac:dyDescent="0.35">
      <c r="A26" s="1" t="s">
        <v>45</v>
      </c>
      <c r="B26" s="6">
        <v>44634</v>
      </c>
      <c r="C26" s="2">
        <v>3</v>
      </c>
      <c r="D26" s="2">
        <v>14</v>
      </c>
      <c r="E26" s="1">
        <v>2022</v>
      </c>
      <c r="F26" s="1" t="s">
        <v>299</v>
      </c>
      <c r="G26" s="1" t="s">
        <v>293</v>
      </c>
      <c r="H26" s="1" t="s">
        <v>14</v>
      </c>
      <c r="I26" s="1" t="s">
        <v>15</v>
      </c>
      <c r="J26" s="1" t="s">
        <v>16</v>
      </c>
      <c r="K26" s="1">
        <v>86</v>
      </c>
      <c r="L26" s="1">
        <v>1.87</v>
      </c>
      <c r="M26" s="1">
        <f t="shared" si="0"/>
        <v>160.82000000000002</v>
      </c>
    </row>
    <row r="27" spans="1:13" x14ac:dyDescent="0.35">
      <c r="A27" s="1" t="s">
        <v>46</v>
      </c>
      <c r="B27" s="6">
        <v>44637</v>
      </c>
      <c r="C27" s="2">
        <v>3</v>
      </c>
      <c r="D27" s="2">
        <v>17</v>
      </c>
      <c r="E27" s="1">
        <v>2022</v>
      </c>
      <c r="F27" s="1" t="s">
        <v>299</v>
      </c>
      <c r="G27" s="1" t="s">
        <v>292</v>
      </c>
      <c r="H27" s="1" t="s">
        <v>18</v>
      </c>
      <c r="I27" s="1" t="s">
        <v>8</v>
      </c>
      <c r="J27" s="1" t="s">
        <v>9</v>
      </c>
      <c r="K27" s="1">
        <v>38</v>
      </c>
      <c r="L27" s="1">
        <v>1.77</v>
      </c>
      <c r="M27" s="1">
        <f t="shared" si="0"/>
        <v>67.260000000000005</v>
      </c>
    </row>
    <row r="28" spans="1:13" x14ac:dyDescent="0.35">
      <c r="A28" s="1" t="s">
        <v>47</v>
      </c>
      <c r="B28" s="6">
        <v>44640</v>
      </c>
      <c r="C28" s="2">
        <v>3</v>
      </c>
      <c r="D28" s="2">
        <v>20</v>
      </c>
      <c r="E28" s="1">
        <v>2022</v>
      </c>
      <c r="F28" s="1" t="s">
        <v>299</v>
      </c>
      <c r="G28" s="1" t="s">
        <v>292</v>
      </c>
      <c r="H28" s="1" t="s">
        <v>18</v>
      </c>
      <c r="I28" s="1" t="s">
        <v>26</v>
      </c>
      <c r="J28" s="1" t="s">
        <v>27</v>
      </c>
      <c r="K28" s="1">
        <v>68</v>
      </c>
      <c r="L28" s="1">
        <v>1.68</v>
      </c>
      <c r="M28" s="1">
        <f t="shared" si="0"/>
        <v>114.24</v>
      </c>
    </row>
    <row r="29" spans="1:13" x14ac:dyDescent="0.35">
      <c r="A29" s="1" t="s">
        <v>48</v>
      </c>
      <c r="B29" s="6">
        <v>44643</v>
      </c>
      <c r="C29" s="2">
        <v>3</v>
      </c>
      <c r="D29" s="2">
        <v>23</v>
      </c>
      <c r="E29" s="1">
        <v>2022</v>
      </c>
      <c r="F29" s="1" t="s">
        <v>299</v>
      </c>
      <c r="G29" s="1" t="s">
        <v>293</v>
      </c>
      <c r="H29" s="1" t="s">
        <v>42</v>
      </c>
      <c r="I29" s="1" t="s">
        <v>15</v>
      </c>
      <c r="J29" s="1" t="s">
        <v>16</v>
      </c>
      <c r="K29" s="1">
        <v>39</v>
      </c>
      <c r="L29" s="1">
        <v>1.87</v>
      </c>
      <c r="M29" s="1">
        <f t="shared" si="0"/>
        <v>72.930000000000007</v>
      </c>
    </row>
    <row r="30" spans="1:13" x14ac:dyDescent="0.35">
      <c r="A30" s="1" t="s">
        <v>49</v>
      </c>
      <c r="B30" s="6">
        <v>44646</v>
      </c>
      <c r="C30" s="2">
        <v>3</v>
      </c>
      <c r="D30" s="2">
        <v>26</v>
      </c>
      <c r="E30" s="1">
        <v>2022</v>
      </c>
      <c r="F30" s="1" t="s">
        <v>299</v>
      </c>
      <c r="G30" s="1" t="s">
        <v>292</v>
      </c>
      <c r="H30" s="1" t="s">
        <v>7</v>
      </c>
      <c r="I30" s="1" t="s">
        <v>8</v>
      </c>
      <c r="J30" s="1" t="s">
        <v>38</v>
      </c>
      <c r="K30" s="1">
        <v>103</v>
      </c>
      <c r="L30" s="1">
        <v>1.87</v>
      </c>
      <c r="M30" s="1">
        <f t="shared" si="0"/>
        <v>192.61</v>
      </c>
    </row>
    <row r="31" spans="1:13" x14ac:dyDescent="0.35">
      <c r="A31" s="1" t="s">
        <v>50</v>
      </c>
      <c r="B31" s="6">
        <v>44649</v>
      </c>
      <c r="C31" s="2">
        <v>3</v>
      </c>
      <c r="D31" s="2">
        <v>29</v>
      </c>
      <c r="E31" s="1">
        <v>2022</v>
      </c>
      <c r="F31" s="1" t="s">
        <v>299</v>
      </c>
      <c r="G31" s="1" t="s">
        <v>292</v>
      </c>
      <c r="H31" s="1" t="s">
        <v>7</v>
      </c>
      <c r="I31" s="1" t="s">
        <v>15</v>
      </c>
      <c r="J31" s="1" t="s">
        <v>36</v>
      </c>
      <c r="K31" s="1">
        <v>193</v>
      </c>
      <c r="L31" s="1">
        <v>2.84</v>
      </c>
      <c r="M31" s="1">
        <f t="shared" si="0"/>
        <v>548.12</v>
      </c>
    </row>
    <row r="32" spans="1:13" x14ac:dyDescent="0.35">
      <c r="A32" s="1" t="s">
        <v>51</v>
      </c>
      <c r="B32" s="6">
        <v>44652</v>
      </c>
      <c r="C32" s="2">
        <v>4</v>
      </c>
      <c r="D32" s="2">
        <v>1</v>
      </c>
      <c r="E32" s="1">
        <v>2022</v>
      </c>
      <c r="F32" s="1" t="s">
        <v>300</v>
      </c>
      <c r="G32" s="1" t="s">
        <v>293</v>
      </c>
      <c r="H32" s="1" t="s">
        <v>14</v>
      </c>
      <c r="I32" s="1" t="s">
        <v>8</v>
      </c>
      <c r="J32" s="1" t="s">
        <v>9</v>
      </c>
      <c r="K32" s="1">
        <v>58</v>
      </c>
      <c r="L32" s="1">
        <v>1.77</v>
      </c>
      <c r="M32" s="1">
        <f t="shared" si="0"/>
        <v>102.66</v>
      </c>
    </row>
    <row r="33" spans="1:13" x14ac:dyDescent="0.35">
      <c r="A33" s="1" t="s">
        <v>52</v>
      </c>
      <c r="B33" s="6">
        <v>44655</v>
      </c>
      <c r="C33" s="2">
        <v>4</v>
      </c>
      <c r="D33" s="2">
        <v>4</v>
      </c>
      <c r="E33" s="1">
        <v>2022</v>
      </c>
      <c r="F33" s="1" t="s">
        <v>300</v>
      </c>
      <c r="G33" s="1" t="s">
        <v>293</v>
      </c>
      <c r="H33" s="1" t="s">
        <v>14</v>
      </c>
      <c r="I33" s="1" t="s">
        <v>26</v>
      </c>
      <c r="J33" s="1" t="s">
        <v>27</v>
      </c>
      <c r="K33" s="1">
        <v>68</v>
      </c>
      <c r="L33" s="1">
        <v>1.68</v>
      </c>
      <c r="M33" s="1">
        <f t="shared" si="0"/>
        <v>114.24</v>
      </c>
    </row>
    <row r="34" spans="1:13" x14ac:dyDescent="0.35">
      <c r="A34" s="1" t="s">
        <v>53</v>
      </c>
      <c r="B34" s="6">
        <v>44658</v>
      </c>
      <c r="C34" s="2">
        <v>4</v>
      </c>
      <c r="D34" s="2">
        <v>7</v>
      </c>
      <c r="E34" s="1">
        <v>2022</v>
      </c>
      <c r="F34" s="1" t="s">
        <v>300</v>
      </c>
      <c r="G34" s="1" t="s">
        <v>292</v>
      </c>
      <c r="H34" s="1" t="s">
        <v>18</v>
      </c>
      <c r="I34" s="1" t="s">
        <v>8</v>
      </c>
      <c r="J34" s="1" t="s">
        <v>9</v>
      </c>
      <c r="K34" s="1">
        <v>91</v>
      </c>
      <c r="L34" s="1">
        <v>1.77</v>
      </c>
      <c r="M34" s="1">
        <f t="shared" si="0"/>
        <v>161.07</v>
      </c>
    </row>
    <row r="35" spans="1:13" x14ac:dyDescent="0.35">
      <c r="A35" s="1" t="s">
        <v>54</v>
      </c>
      <c r="B35" s="6">
        <v>44661</v>
      </c>
      <c r="C35" s="2">
        <v>4</v>
      </c>
      <c r="D35" s="2">
        <v>10</v>
      </c>
      <c r="E35" s="1">
        <v>2022</v>
      </c>
      <c r="F35" s="1" t="s">
        <v>300</v>
      </c>
      <c r="G35" s="1" t="s">
        <v>292</v>
      </c>
      <c r="H35" s="1" t="s">
        <v>18</v>
      </c>
      <c r="I35" s="1" t="s">
        <v>11</v>
      </c>
      <c r="J35" s="1" t="s">
        <v>12</v>
      </c>
      <c r="K35" s="1">
        <v>23</v>
      </c>
      <c r="L35" s="1">
        <v>3.49</v>
      </c>
      <c r="M35" s="1">
        <f t="shared" si="0"/>
        <v>80.27000000000001</v>
      </c>
    </row>
    <row r="36" spans="1:13" x14ac:dyDescent="0.35">
      <c r="A36" s="1" t="s">
        <v>55</v>
      </c>
      <c r="B36" s="6">
        <v>44664</v>
      </c>
      <c r="C36" s="2">
        <v>4</v>
      </c>
      <c r="D36" s="2">
        <v>13</v>
      </c>
      <c r="E36" s="1">
        <v>2022</v>
      </c>
      <c r="F36" s="1" t="s">
        <v>300</v>
      </c>
      <c r="G36" s="1" t="s">
        <v>293</v>
      </c>
      <c r="H36" s="1" t="s">
        <v>42</v>
      </c>
      <c r="I36" s="1" t="s">
        <v>26</v>
      </c>
      <c r="J36" s="1" t="s">
        <v>27</v>
      </c>
      <c r="K36" s="1">
        <v>28</v>
      </c>
      <c r="L36" s="1">
        <v>1.68</v>
      </c>
      <c r="M36" s="1">
        <f t="shared" si="0"/>
        <v>47.04</v>
      </c>
    </row>
    <row r="37" spans="1:13" x14ac:dyDescent="0.35">
      <c r="A37" s="1" t="s">
        <v>56</v>
      </c>
      <c r="B37" s="6">
        <v>44667</v>
      </c>
      <c r="C37" s="2">
        <v>4</v>
      </c>
      <c r="D37" s="2">
        <v>16</v>
      </c>
      <c r="E37" s="1">
        <v>2022</v>
      </c>
      <c r="F37" s="1" t="s">
        <v>300</v>
      </c>
      <c r="G37" s="1" t="s">
        <v>292</v>
      </c>
      <c r="H37" s="1" t="s">
        <v>7</v>
      </c>
      <c r="I37" s="1" t="s">
        <v>8</v>
      </c>
      <c r="J37" s="1" t="s">
        <v>9</v>
      </c>
      <c r="K37" s="1">
        <v>48</v>
      </c>
      <c r="L37" s="1">
        <v>1.77</v>
      </c>
      <c r="M37" s="1">
        <f t="shared" si="0"/>
        <v>84.960000000000008</v>
      </c>
    </row>
    <row r="38" spans="1:13" x14ac:dyDescent="0.35">
      <c r="A38" s="1" t="s">
        <v>57</v>
      </c>
      <c r="B38" s="6">
        <v>44670</v>
      </c>
      <c r="C38" s="2">
        <v>4</v>
      </c>
      <c r="D38" s="2">
        <v>19</v>
      </c>
      <c r="E38" s="1">
        <v>2022</v>
      </c>
      <c r="F38" s="1" t="s">
        <v>300</v>
      </c>
      <c r="G38" s="1" t="s">
        <v>292</v>
      </c>
      <c r="H38" s="1" t="s">
        <v>7</v>
      </c>
      <c r="I38" s="1" t="s">
        <v>26</v>
      </c>
      <c r="J38" s="1" t="s">
        <v>27</v>
      </c>
      <c r="K38" s="1">
        <v>134</v>
      </c>
      <c r="L38" s="1">
        <v>1.68</v>
      </c>
      <c r="M38" s="1">
        <f t="shared" si="0"/>
        <v>225.12</v>
      </c>
    </row>
    <row r="39" spans="1:13" x14ac:dyDescent="0.35">
      <c r="A39" s="1" t="s">
        <v>58</v>
      </c>
      <c r="B39" s="6">
        <v>44673</v>
      </c>
      <c r="C39" s="2">
        <v>4</v>
      </c>
      <c r="D39" s="2">
        <v>22</v>
      </c>
      <c r="E39" s="1">
        <v>2022</v>
      </c>
      <c r="F39" s="1" t="s">
        <v>300</v>
      </c>
      <c r="G39" s="1" t="s">
        <v>293</v>
      </c>
      <c r="H39" s="1" t="s">
        <v>14</v>
      </c>
      <c r="I39" s="1" t="s">
        <v>8</v>
      </c>
      <c r="J39" s="1" t="s">
        <v>9</v>
      </c>
      <c r="K39" s="1">
        <v>20</v>
      </c>
      <c r="L39" s="1">
        <v>1.77</v>
      </c>
      <c r="M39" s="1">
        <f t="shared" si="0"/>
        <v>35.4</v>
      </c>
    </row>
    <row r="40" spans="1:13" x14ac:dyDescent="0.35">
      <c r="A40" s="1" t="s">
        <v>59</v>
      </c>
      <c r="B40" s="6">
        <v>44676</v>
      </c>
      <c r="C40" s="2">
        <v>4</v>
      </c>
      <c r="D40" s="2">
        <v>25</v>
      </c>
      <c r="E40" s="1">
        <v>2022</v>
      </c>
      <c r="F40" s="1" t="s">
        <v>300</v>
      </c>
      <c r="G40" s="1" t="s">
        <v>292</v>
      </c>
      <c r="H40" s="1" t="s">
        <v>18</v>
      </c>
      <c r="I40" s="1" t="s">
        <v>8</v>
      </c>
      <c r="J40" s="1" t="s">
        <v>9</v>
      </c>
      <c r="K40" s="1">
        <v>53</v>
      </c>
      <c r="L40" s="1">
        <v>1.77</v>
      </c>
      <c r="M40" s="1">
        <f t="shared" si="0"/>
        <v>93.81</v>
      </c>
    </row>
    <row r="41" spans="1:13" x14ac:dyDescent="0.35">
      <c r="A41" s="1" t="s">
        <v>60</v>
      </c>
      <c r="B41" s="6">
        <v>44679</v>
      </c>
      <c r="C41" s="2">
        <v>4</v>
      </c>
      <c r="D41" s="2">
        <v>28</v>
      </c>
      <c r="E41" s="1">
        <v>2022</v>
      </c>
      <c r="F41" s="1" t="s">
        <v>300</v>
      </c>
      <c r="G41" s="1" t="s">
        <v>292</v>
      </c>
      <c r="H41" s="1" t="s">
        <v>18</v>
      </c>
      <c r="I41" s="1" t="s">
        <v>26</v>
      </c>
      <c r="J41" s="1" t="s">
        <v>27</v>
      </c>
      <c r="K41" s="1">
        <v>64</v>
      </c>
      <c r="L41" s="1">
        <v>1.68</v>
      </c>
      <c r="M41" s="1">
        <f t="shared" si="0"/>
        <v>107.52</v>
      </c>
    </row>
    <row r="42" spans="1:13" x14ac:dyDescent="0.35">
      <c r="A42" s="1" t="s">
        <v>61</v>
      </c>
      <c r="B42" s="6">
        <v>44682</v>
      </c>
      <c r="C42" s="2">
        <v>5</v>
      </c>
      <c r="D42" s="2">
        <v>1</v>
      </c>
      <c r="E42" s="1">
        <v>2022</v>
      </c>
      <c r="F42" s="1" t="s">
        <v>301</v>
      </c>
      <c r="G42" s="1" t="s">
        <v>293</v>
      </c>
      <c r="H42" s="1" t="s">
        <v>42</v>
      </c>
      <c r="I42" s="1" t="s">
        <v>15</v>
      </c>
      <c r="J42" s="1" t="s">
        <v>16</v>
      </c>
      <c r="K42" s="1">
        <v>63</v>
      </c>
      <c r="L42" s="1">
        <v>1.87</v>
      </c>
      <c r="M42" s="1">
        <f t="shared" si="0"/>
        <v>117.81</v>
      </c>
    </row>
    <row r="43" spans="1:13" x14ac:dyDescent="0.35">
      <c r="A43" s="1" t="s">
        <v>62</v>
      </c>
      <c r="B43" s="6">
        <v>44685</v>
      </c>
      <c r="C43" s="2">
        <v>5</v>
      </c>
      <c r="D43" s="2">
        <v>4</v>
      </c>
      <c r="E43" s="1">
        <v>2022</v>
      </c>
      <c r="F43" s="1" t="s">
        <v>301</v>
      </c>
      <c r="G43" s="1" t="s">
        <v>292</v>
      </c>
      <c r="H43" s="1" t="s">
        <v>7</v>
      </c>
      <c r="I43" s="1" t="s">
        <v>8</v>
      </c>
      <c r="J43" s="1" t="s">
        <v>38</v>
      </c>
      <c r="K43" s="1">
        <v>105</v>
      </c>
      <c r="L43" s="1">
        <v>1.87</v>
      </c>
      <c r="M43" s="1">
        <f t="shared" si="0"/>
        <v>196.35000000000002</v>
      </c>
    </row>
    <row r="44" spans="1:13" x14ac:dyDescent="0.35">
      <c r="A44" s="1" t="s">
        <v>63</v>
      </c>
      <c r="B44" s="6">
        <v>44688</v>
      </c>
      <c r="C44" s="2">
        <v>5</v>
      </c>
      <c r="D44" s="2">
        <v>7</v>
      </c>
      <c r="E44" s="1">
        <v>2022</v>
      </c>
      <c r="F44" s="1" t="s">
        <v>301</v>
      </c>
      <c r="G44" s="1" t="s">
        <v>292</v>
      </c>
      <c r="H44" s="1" t="s">
        <v>7</v>
      </c>
      <c r="I44" s="1" t="s">
        <v>15</v>
      </c>
      <c r="J44" s="1" t="s">
        <v>36</v>
      </c>
      <c r="K44" s="1">
        <v>138</v>
      </c>
      <c r="L44" s="1">
        <v>2.84</v>
      </c>
      <c r="M44" s="1">
        <f t="shared" si="0"/>
        <v>391.91999999999996</v>
      </c>
    </row>
    <row r="45" spans="1:13" x14ac:dyDescent="0.35">
      <c r="A45" s="1" t="s">
        <v>64</v>
      </c>
      <c r="B45" s="6">
        <v>44691</v>
      </c>
      <c r="C45" s="2">
        <v>5</v>
      </c>
      <c r="D45" s="2">
        <v>10</v>
      </c>
      <c r="E45" s="1">
        <v>2022</v>
      </c>
      <c r="F45" s="1" t="s">
        <v>301</v>
      </c>
      <c r="G45" s="1" t="s">
        <v>293</v>
      </c>
      <c r="H45" s="1" t="s">
        <v>14</v>
      </c>
      <c r="I45" s="1" t="s">
        <v>8</v>
      </c>
      <c r="J45" s="1" t="s">
        <v>9</v>
      </c>
      <c r="K45" s="1">
        <v>25</v>
      </c>
      <c r="L45" s="1">
        <v>1.77</v>
      </c>
      <c r="M45" s="1">
        <f t="shared" si="0"/>
        <v>44.25</v>
      </c>
    </row>
    <row r="46" spans="1:13" x14ac:dyDescent="0.35">
      <c r="A46" s="1" t="s">
        <v>65</v>
      </c>
      <c r="B46" s="6">
        <v>44694</v>
      </c>
      <c r="C46" s="2">
        <v>5</v>
      </c>
      <c r="D46" s="2">
        <v>13</v>
      </c>
      <c r="E46" s="1">
        <v>2022</v>
      </c>
      <c r="F46" s="1" t="s">
        <v>301</v>
      </c>
      <c r="G46" s="1" t="s">
        <v>293</v>
      </c>
      <c r="H46" s="1" t="s">
        <v>14</v>
      </c>
      <c r="I46" s="1" t="s">
        <v>11</v>
      </c>
      <c r="J46" s="1" t="s">
        <v>12</v>
      </c>
      <c r="K46" s="1">
        <v>21</v>
      </c>
      <c r="L46" s="1">
        <v>3.49</v>
      </c>
      <c r="M46" s="1">
        <f t="shared" si="0"/>
        <v>73.290000000000006</v>
      </c>
    </row>
    <row r="47" spans="1:13" x14ac:dyDescent="0.35">
      <c r="A47" s="1" t="s">
        <v>66</v>
      </c>
      <c r="B47" s="6">
        <v>44697</v>
      </c>
      <c r="C47" s="2">
        <v>5</v>
      </c>
      <c r="D47" s="2">
        <v>16</v>
      </c>
      <c r="E47" s="1">
        <v>2022</v>
      </c>
      <c r="F47" s="1" t="s">
        <v>301</v>
      </c>
      <c r="G47" s="1" t="s">
        <v>292</v>
      </c>
      <c r="H47" s="1" t="s">
        <v>18</v>
      </c>
      <c r="I47" s="1" t="s">
        <v>8</v>
      </c>
      <c r="J47" s="1" t="s">
        <v>9</v>
      </c>
      <c r="K47" s="1">
        <v>61</v>
      </c>
      <c r="L47" s="1">
        <v>1.77</v>
      </c>
      <c r="M47" s="1">
        <f t="shared" si="0"/>
        <v>107.97</v>
      </c>
    </row>
    <row r="48" spans="1:13" x14ac:dyDescent="0.35">
      <c r="A48" s="1" t="s">
        <v>67</v>
      </c>
      <c r="B48" s="6">
        <v>44700</v>
      </c>
      <c r="C48" s="2">
        <v>5</v>
      </c>
      <c r="D48" s="2">
        <v>19</v>
      </c>
      <c r="E48" s="1">
        <v>2022</v>
      </c>
      <c r="F48" s="1" t="s">
        <v>301</v>
      </c>
      <c r="G48" s="1" t="s">
        <v>292</v>
      </c>
      <c r="H48" s="1" t="s">
        <v>18</v>
      </c>
      <c r="I48" s="1" t="s">
        <v>26</v>
      </c>
      <c r="J48" s="1" t="s">
        <v>27</v>
      </c>
      <c r="K48" s="1">
        <v>49</v>
      </c>
      <c r="L48" s="1">
        <v>1.68</v>
      </c>
      <c r="M48" s="1">
        <f t="shared" si="0"/>
        <v>82.32</v>
      </c>
    </row>
    <row r="49" spans="1:13" x14ac:dyDescent="0.35">
      <c r="A49" s="1" t="s">
        <v>68</v>
      </c>
      <c r="B49" s="6">
        <v>44703</v>
      </c>
      <c r="C49" s="2">
        <v>5</v>
      </c>
      <c r="D49" s="2">
        <v>22</v>
      </c>
      <c r="E49" s="1">
        <v>2022</v>
      </c>
      <c r="F49" s="1" t="s">
        <v>301</v>
      </c>
      <c r="G49" s="1" t="s">
        <v>293</v>
      </c>
      <c r="H49" s="1" t="s">
        <v>42</v>
      </c>
      <c r="I49" s="1" t="s">
        <v>15</v>
      </c>
      <c r="J49" s="1" t="s">
        <v>16</v>
      </c>
      <c r="K49" s="1">
        <v>55</v>
      </c>
      <c r="L49" s="1">
        <v>1.87</v>
      </c>
      <c r="M49" s="1">
        <f t="shared" si="0"/>
        <v>102.85000000000001</v>
      </c>
    </row>
    <row r="50" spans="1:13" x14ac:dyDescent="0.35">
      <c r="A50" s="1" t="s">
        <v>69</v>
      </c>
      <c r="B50" s="6">
        <v>44706</v>
      </c>
      <c r="C50" s="2">
        <v>5</v>
      </c>
      <c r="D50" s="2">
        <v>25</v>
      </c>
      <c r="E50" s="1">
        <v>2022</v>
      </c>
      <c r="F50" s="1" t="s">
        <v>301</v>
      </c>
      <c r="G50" s="1" t="s">
        <v>292</v>
      </c>
      <c r="H50" s="1" t="s">
        <v>7</v>
      </c>
      <c r="I50" s="1" t="s">
        <v>15</v>
      </c>
      <c r="J50" s="1" t="s">
        <v>20</v>
      </c>
      <c r="K50" s="1">
        <v>27</v>
      </c>
      <c r="L50" s="1">
        <v>2.1800000000000002</v>
      </c>
      <c r="M50" s="1">
        <f t="shared" si="0"/>
        <v>58.860000000000007</v>
      </c>
    </row>
    <row r="51" spans="1:13" x14ac:dyDescent="0.35">
      <c r="A51" s="1" t="s">
        <v>70</v>
      </c>
      <c r="B51" s="6">
        <v>44709</v>
      </c>
      <c r="C51" s="2">
        <v>5</v>
      </c>
      <c r="D51" s="2">
        <v>28</v>
      </c>
      <c r="E51" s="1">
        <v>2022</v>
      </c>
      <c r="F51" s="1" t="s">
        <v>301</v>
      </c>
      <c r="G51" s="1" t="s">
        <v>292</v>
      </c>
      <c r="H51" s="1" t="s">
        <v>7</v>
      </c>
      <c r="I51" s="1" t="s">
        <v>8</v>
      </c>
      <c r="J51" s="1" t="s">
        <v>9</v>
      </c>
      <c r="K51" s="1">
        <v>58</v>
      </c>
      <c r="L51" s="1">
        <v>1.77</v>
      </c>
      <c r="M51" s="1">
        <f t="shared" si="0"/>
        <v>102.66</v>
      </c>
    </row>
    <row r="52" spans="1:13" x14ac:dyDescent="0.35">
      <c r="A52" s="1" t="s">
        <v>71</v>
      </c>
      <c r="B52" s="6">
        <v>44712</v>
      </c>
      <c r="C52" s="2">
        <v>5</v>
      </c>
      <c r="D52" s="2">
        <v>31</v>
      </c>
      <c r="E52" s="1">
        <v>2022</v>
      </c>
      <c r="F52" s="1" t="s">
        <v>301</v>
      </c>
      <c r="G52" s="1" t="s">
        <v>292</v>
      </c>
      <c r="H52" s="1" t="s">
        <v>7</v>
      </c>
      <c r="I52" s="1" t="s">
        <v>11</v>
      </c>
      <c r="J52" s="1" t="s">
        <v>12</v>
      </c>
      <c r="K52" s="1">
        <v>33</v>
      </c>
      <c r="L52" s="1">
        <v>3.49</v>
      </c>
      <c r="M52" s="1">
        <f t="shared" si="0"/>
        <v>115.17</v>
      </c>
    </row>
    <row r="53" spans="1:13" x14ac:dyDescent="0.35">
      <c r="A53" s="1" t="s">
        <v>72</v>
      </c>
      <c r="B53" s="6">
        <v>44715</v>
      </c>
      <c r="C53" s="2">
        <v>6</v>
      </c>
      <c r="D53" s="2">
        <v>3</v>
      </c>
      <c r="E53" s="1">
        <v>2022</v>
      </c>
      <c r="F53" s="1" t="s">
        <v>302</v>
      </c>
      <c r="G53" s="1" t="s">
        <v>293</v>
      </c>
      <c r="H53" s="1" t="s">
        <v>14</v>
      </c>
      <c r="I53" s="1" t="s">
        <v>15</v>
      </c>
      <c r="J53" s="1" t="s">
        <v>36</v>
      </c>
      <c r="K53" s="1">
        <v>288</v>
      </c>
      <c r="L53" s="1">
        <v>2.84</v>
      </c>
      <c r="M53" s="1">
        <f t="shared" si="0"/>
        <v>817.92</v>
      </c>
    </row>
    <row r="54" spans="1:13" x14ac:dyDescent="0.35">
      <c r="A54" s="1" t="s">
        <v>73</v>
      </c>
      <c r="B54" s="6">
        <v>44718</v>
      </c>
      <c r="C54" s="2">
        <v>6</v>
      </c>
      <c r="D54" s="2">
        <v>6</v>
      </c>
      <c r="E54" s="1">
        <v>2022</v>
      </c>
      <c r="F54" s="1" t="s">
        <v>302</v>
      </c>
      <c r="G54" s="1" t="s">
        <v>292</v>
      </c>
      <c r="H54" s="1" t="s">
        <v>18</v>
      </c>
      <c r="I54" s="1" t="s">
        <v>15</v>
      </c>
      <c r="J54" s="1" t="s">
        <v>16</v>
      </c>
      <c r="K54" s="1">
        <v>76</v>
      </c>
      <c r="L54" s="1">
        <v>1.87</v>
      </c>
      <c r="M54" s="1">
        <f t="shared" si="0"/>
        <v>142.12</v>
      </c>
    </row>
    <row r="55" spans="1:13" x14ac:dyDescent="0.35">
      <c r="A55" s="1" t="s">
        <v>74</v>
      </c>
      <c r="B55" s="6">
        <v>44721</v>
      </c>
      <c r="C55" s="2">
        <v>6</v>
      </c>
      <c r="D55" s="2">
        <v>9</v>
      </c>
      <c r="E55" s="1">
        <v>2022</v>
      </c>
      <c r="F55" s="1" t="s">
        <v>302</v>
      </c>
      <c r="G55" s="1" t="s">
        <v>293</v>
      </c>
      <c r="H55" s="1" t="s">
        <v>42</v>
      </c>
      <c r="I55" s="1" t="s">
        <v>8</v>
      </c>
      <c r="J55" s="1" t="s">
        <v>9</v>
      </c>
      <c r="K55" s="1">
        <v>42</v>
      </c>
      <c r="L55" s="1">
        <v>1.77</v>
      </c>
      <c r="M55" s="1">
        <f t="shared" si="0"/>
        <v>74.34</v>
      </c>
    </row>
    <row r="56" spans="1:13" x14ac:dyDescent="0.35">
      <c r="A56" s="1" t="s">
        <v>75</v>
      </c>
      <c r="B56" s="6">
        <v>44724</v>
      </c>
      <c r="C56" s="2">
        <v>6</v>
      </c>
      <c r="D56" s="2">
        <v>12</v>
      </c>
      <c r="E56" s="1">
        <v>2022</v>
      </c>
      <c r="F56" s="1" t="s">
        <v>302</v>
      </c>
      <c r="G56" s="1" t="s">
        <v>293</v>
      </c>
      <c r="H56" s="1" t="s">
        <v>42</v>
      </c>
      <c r="I56" s="1" t="s">
        <v>11</v>
      </c>
      <c r="J56" s="1" t="s">
        <v>12</v>
      </c>
      <c r="K56" s="1">
        <v>20</v>
      </c>
      <c r="L56" s="1">
        <v>3.49</v>
      </c>
      <c r="M56" s="1">
        <f t="shared" si="0"/>
        <v>69.800000000000011</v>
      </c>
    </row>
    <row r="57" spans="1:13" x14ac:dyDescent="0.35">
      <c r="A57" s="1" t="s">
        <v>76</v>
      </c>
      <c r="B57" s="6">
        <v>44727</v>
      </c>
      <c r="C57" s="2">
        <v>6</v>
      </c>
      <c r="D57" s="2">
        <v>15</v>
      </c>
      <c r="E57" s="1">
        <v>2022</v>
      </c>
      <c r="F57" s="1" t="s">
        <v>302</v>
      </c>
      <c r="G57" s="1" t="s">
        <v>292</v>
      </c>
      <c r="H57" s="1" t="s">
        <v>7</v>
      </c>
      <c r="I57" s="1" t="s">
        <v>8</v>
      </c>
      <c r="J57" s="1" t="s">
        <v>9</v>
      </c>
      <c r="K57" s="1">
        <v>75</v>
      </c>
      <c r="L57" s="1">
        <v>1.77</v>
      </c>
      <c r="M57" s="1">
        <f t="shared" si="0"/>
        <v>132.75</v>
      </c>
    </row>
    <row r="58" spans="1:13" x14ac:dyDescent="0.35">
      <c r="A58" s="1" t="s">
        <v>77</v>
      </c>
      <c r="B58" s="6">
        <v>44730</v>
      </c>
      <c r="C58" s="2">
        <v>6</v>
      </c>
      <c r="D58" s="2">
        <v>18</v>
      </c>
      <c r="E58" s="1">
        <v>2022</v>
      </c>
      <c r="F58" s="1" t="s">
        <v>302</v>
      </c>
      <c r="G58" s="1" t="s">
        <v>292</v>
      </c>
      <c r="H58" s="1" t="s">
        <v>7</v>
      </c>
      <c r="I58" s="1" t="s">
        <v>11</v>
      </c>
      <c r="J58" s="1" t="s">
        <v>12</v>
      </c>
      <c r="K58" s="1">
        <v>38</v>
      </c>
      <c r="L58" s="1">
        <v>3.49</v>
      </c>
      <c r="M58" s="1">
        <f t="shared" si="0"/>
        <v>132.62</v>
      </c>
    </row>
    <row r="59" spans="1:13" x14ac:dyDescent="0.35">
      <c r="A59" s="1" t="s">
        <v>78</v>
      </c>
      <c r="B59" s="6">
        <v>44733</v>
      </c>
      <c r="C59" s="2">
        <v>6</v>
      </c>
      <c r="D59" s="2">
        <v>21</v>
      </c>
      <c r="E59" s="1">
        <v>2022</v>
      </c>
      <c r="F59" s="1" t="s">
        <v>302</v>
      </c>
      <c r="G59" s="1" t="s">
        <v>293</v>
      </c>
      <c r="H59" s="1" t="s">
        <v>14</v>
      </c>
      <c r="I59" s="1" t="s">
        <v>8</v>
      </c>
      <c r="J59" s="1" t="s">
        <v>9</v>
      </c>
      <c r="K59" s="1">
        <v>306</v>
      </c>
      <c r="L59" s="1">
        <v>1.77</v>
      </c>
      <c r="M59" s="1">
        <f t="shared" si="0"/>
        <v>541.62</v>
      </c>
    </row>
    <row r="60" spans="1:13" x14ac:dyDescent="0.35">
      <c r="A60" s="1" t="s">
        <v>79</v>
      </c>
      <c r="B60" s="6">
        <v>44736</v>
      </c>
      <c r="C60" s="2">
        <v>6</v>
      </c>
      <c r="D60" s="2">
        <v>24</v>
      </c>
      <c r="E60" s="1">
        <v>2022</v>
      </c>
      <c r="F60" s="1" t="s">
        <v>302</v>
      </c>
      <c r="G60" s="1" t="s">
        <v>293</v>
      </c>
      <c r="H60" s="1" t="s">
        <v>14</v>
      </c>
      <c r="I60" s="1" t="s">
        <v>26</v>
      </c>
      <c r="J60" s="1" t="s">
        <v>27</v>
      </c>
      <c r="K60" s="1">
        <v>28</v>
      </c>
      <c r="L60" s="1">
        <v>1.68</v>
      </c>
      <c r="M60" s="1">
        <f t="shared" si="0"/>
        <v>47.04</v>
      </c>
    </row>
    <row r="61" spans="1:13" x14ac:dyDescent="0.35">
      <c r="A61" s="1" t="s">
        <v>80</v>
      </c>
      <c r="B61" s="6">
        <v>44739</v>
      </c>
      <c r="C61" s="2">
        <v>6</v>
      </c>
      <c r="D61" s="2">
        <v>27</v>
      </c>
      <c r="E61" s="1">
        <v>2022</v>
      </c>
      <c r="F61" s="1" t="s">
        <v>302</v>
      </c>
      <c r="G61" s="1" t="s">
        <v>292</v>
      </c>
      <c r="H61" s="1" t="s">
        <v>18</v>
      </c>
      <c r="I61" s="1" t="s">
        <v>8</v>
      </c>
      <c r="J61" s="1" t="s">
        <v>38</v>
      </c>
      <c r="K61" s="1">
        <v>110</v>
      </c>
      <c r="L61" s="1">
        <v>1.87</v>
      </c>
      <c r="M61" s="1">
        <f t="shared" si="0"/>
        <v>205.70000000000002</v>
      </c>
    </row>
    <row r="62" spans="1:13" x14ac:dyDescent="0.35">
      <c r="A62" s="1" t="s">
        <v>81</v>
      </c>
      <c r="B62" s="6">
        <v>44742</v>
      </c>
      <c r="C62" s="2">
        <v>6</v>
      </c>
      <c r="D62" s="2">
        <v>30</v>
      </c>
      <c r="E62" s="1">
        <v>2022</v>
      </c>
      <c r="F62" s="1" t="s">
        <v>302</v>
      </c>
      <c r="G62" s="1" t="s">
        <v>292</v>
      </c>
      <c r="H62" s="1" t="s">
        <v>18</v>
      </c>
      <c r="I62" s="1" t="s">
        <v>15</v>
      </c>
      <c r="J62" s="1" t="s">
        <v>36</v>
      </c>
      <c r="K62" s="1">
        <v>51</v>
      </c>
      <c r="L62" s="1">
        <v>2.84</v>
      </c>
      <c r="M62" s="1">
        <f t="shared" si="0"/>
        <v>144.84</v>
      </c>
    </row>
    <row r="63" spans="1:13" x14ac:dyDescent="0.35">
      <c r="A63" s="1" t="s">
        <v>82</v>
      </c>
      <c r="B63" s="6">
        <v>44745</v>
      </c>
      <c r="C63" s="2">
        <v>7</v>
      </c>
      <c r="D63" s="2">
        <v>3</v>
      </c>
      <c r="E63" s="1">
        <v>2022</v>
      </c>
      <c r="F63" s="1" t="s">
        <v>303</v>
      </c>
      <c r="G63" s="1" t="s">
        <v>293</v>
      </c>
      <c r="H63" s="1" t="s">
        <v>42</v>
      </c>
      <c r="I63" s="1" t="s">
        <v>8</v>
      </c>
      <c r="J63" s="1" t="s">
        <v>9</v>
      </c>
      <c r="K63" s="1">
        <v>52</v>
      </c>
      <c r="L63" s="1">
        <v>1.77</v>
      </c>
      <c r="M63" s="1">
        <f t="shared" si="0"/>
        <v>92.04</v>
      </c>
    </row>
    <row r="64" spans="1:13" x14ac:dyDescent="0.35">
      <c r="A64" s="1" t="s">
        <v>83</v>
      </c>
      <c r="B64" s="6">
        <v>44748</v>
      </c>
      <c r="C64" s="2">
        <v>7</v>
      </c>
      <c r="D64" s="2">
        <v>6</v>
      </c>
      <c r="E64" s="1">
        <v>2022</v>
      </c>
      <c r="F64" s="1" t="s">
        <v>303</v>
      </c>
      <c r="G64" s="1" t="s">
        <v>293</v>
      </c>
      <c r="H64" s="1" t="s">
        <v>42</v>
      </c>
      <c r="I64" s="1" t="s">
        <v>11</v>
      </c>
      <c r="J64" s="1" t="s">
        <v>12</v>
      </c>
      <c r="K64" s="1">
        <v>28</v>
      </c>
      <c r="L64" s="1">
        <v>3.49</v>
      </c>
      <c r="M64" s="1">
        <f t="shared" si="0"/>
        <v>97.72</v>
      </c>
    </row>
    <row r="65" spans="1:13" x14ac:dyDescent="0.35">
      <c r="A65" s="1" t="s">
        <v>84</v>
      </c>
      <c r="B65" s="6">
        <v>44751</v>
      </c>
      <c r="C65" s="2">
        <v>7</v>
      </c>
      <c r="D65" s="2">
        <v>9</v>
      </c>
      <c r="E65" s="1">
        <v>2022</v>
      </c>
      <c r="F65" s="1" t="s">
        <v>303</v>
      </c>
      <c r="G65" s="1" t="s">
        <v>292</v>
      </c>
      <c r="H65" s="1" t="s">
        <v>7</v>
      </c>
      <c r="I65" s="1" t="s">
        <v>8</v>
      </c>
      <c r="J65" s="1" t="s">
        <v>9</v>
      </c>
      <c r="K65" s="1">
        <v>136</v>
      </c>
      <c r="L65" s="1">
        <v>1.77</v>
      </c>
      <c r="M65" s="1">
        <f t="shared" si="0"/>
        <v>240.72</v>
      </c>
    </row>
    <row r="66" spans="1:13" x14ac:dyDescent="0.35">
      <c r="A66" s="1" t="s">
        <v>85</v>
      </c>
      <c r="B66" s="6">
        <v>44754</v>
      </c>
      <c r="C66" s="2">
        <v>7</v>
      </c>
      <c r="D66" s="2">
        <v>12</v>
      </c>
      <c r="E66" s="1">
        <v>2022</v>
      </c>
      <c r="F66" s="1" t="s">
        <v>303</v>
      </c>
      <c r="G66" s="1" t="s">
        <v>292</v>
      </c>
      <c r="H66" s="1" t="s">
        <v>7</v>
      </c>
      <c r="I66" s="1" t="s">
        <v>11</v>
      </c>
      <c r="J66" s="1" t="s">
        <v>12</v>
      </c>
      <c r="K66" s="1">
        <v>42</v>
      </c>
      <c r="L66" s="1">
        <v>3.49</v>
      </c>
      <c r="M66" s="1">
        <f t="shared" si="0"/>
        <v>146.58000000000001</v>
      </c>
    </row>
    <row r="67" spans="1:13" x14ac:dyDescent="0.35">
      <c r="A67" s="1" t="s">
        <v>86</v>
      </c>
      <c r="B67" s="6">
        <v>44757</v>
      </c>
      <c r="C67" s="2">
        <v>7</v>
      </c>
      <c r="D67" s="2">
        <v>15</v>
      </c>
      <c r="E67" s="1">
        <v>2022</v>
      </c>
      <c r="F67" s="1" t="s">
        <v>303</v>
      </c>
      <c r="G67" s="1" t="s">
        <v>293</v>
      </c>
      <c r="H67" s="1" t="s">
        <v>14</v>
      </c>
      <c r="I67" s="1" t="s">
        <v>15</v>
      </c>
      <c r="J67" s="1" t="s">
        <v>16</v>
      </c>
      <c r="K67" s="1">
        <v>75</v>
      </c>
      <c r="L67" s="1">
        <v>1.87</v>
      </c>
      <c r="M67" s="1">
        <f t="shared" ref="M67:M130" si="1">K67*L67</f>
        <v>140.25</v>
      </c>
    </row>
    <row r="68" spans="1:13" x14ac:dyDescent="0.35">
      <c r="A68" s="1" t="s">
        <v>87</v>
      </c>
      <c r="B68" s="6">
        <v>44760</v>
      </c>
      <c r="C68" s="2">
        <v>7</v>
      </c>
      <c r="D68" s="2">
        <v>18</v>
      </c>
      <c r="E68" s="1">
        <v>2022</v>
      </c>
      <c r="F68" s="1" t="s">
        <v>303</v>
      </c>
      <c r="G68" s="1" t="s">
        <v>292</v>
      </c>
      <c r="H68" s="1" t="s">
        <v>18</v>
      </c>
      <c r="I68" s="1" t="s">
        <v>8</v>
      </c>
      <c r="J68" s="1" t="s">
        <v>38</v>
      </c>
      <c r="K68" s="1">
        <v>72</v>
      </c>
      <c r="L68" s="1">
        <v>1.87</v>
      </c>
      <c r="M68" s="1">
        <f t="shared" si="1"/>
        <v>134.64000000000001</v>
      </c>
    </row>
    <row r="69" spans="1:13" x14ac:dyDescent="0.35">
      <c r="A69" s="1" t="s">
        <v>88</v>
      </c>
      <c r="B69" s="6">
        <v>44763</v>
      </c>
      <c r="C69" s="2">
        <v>7</v>
      </c>
      <c r="D69" s="2">
        <v>21</v>
      </c>
      <c r="E69" s="1">
        <v>2022</v>
      </c>
      <c r="F69" s="1" t="s">
        <v>303</v>
      </c>
      <c r="G69" s="1" t="s">
        <v>292</v>
      </c>
      <c r="H69" s="1" t="s">
        <v>18</v>
      </c>
      <c r="I69" s="1" t="s">
        <v>15</v>
      </c>
      <c r="J69" s="1" t="s">
        <v>36</v>
      </c>
      <c r="K69" s="1">
        <v>56</v>
      </c>
      <c r="L69" s="1">
        <v>2.84</v>
      </c>
      <c r="M69" s="1">
        <f t="shared" si="1"/>
        <v>159.04</v>
      </c>
    </row>
    <row r="70" spans="1:13" x14ac:dyDescent="0.35">
      <c r="A70" s="1" t="s">
        <v>89</v>
      </c>
      <c r="B70" s="6">
        <v>44766</v>
      </c>
      <c r="C70" s="2">
        <v>7</v>
      </c>
      <c r="D70" s="2">
        <v>24</v>
      </c>
      <c r="E70" s="1">
        <v>2022</v>
      </c>
      <c r="F70" s="1" t="s">
        <v>303</v>
      </c>
      <c r="G70" s="1" t="s">
        <v>293</v>
      </c>
      <c r="H70" s="1" t="s">
        <v>42</v>
      </c>
      <c r="I70" s="1" t="s">
        <v>8</v>
      </c>
      <c r="J70" s="1" t="s">
        <v>38</v>
      </c>
      <c r="K70" s="1">
        <v>51</v>
      </c>
      <c r="L70" s="1">
        <v>1.87</v>
      </c>
      <c r="M70" s="1">
        <f t="shared" si="1"/>
        <v>95.37</v>
      </c>
    </row>
    <row r="71" spans="1:13" x14ac:dyDescent="0.35">
      <c r="A71" s="1" t="s">
        <v>90</v>
      </c>
      <c r="B71" s="6">
        <v>44769</v>
      </c>
      <c r="C71" s="2">
        <v>7</v>
      </c>
      <c r="D71" s="2">
        <v>27</v>
      </c>
      <c r="E71" s="1">
        <v>2022</v>
      </c>
      <c r="F71" s="1" t="s">
        <v>303</v>
      </c>
      <c r="G71" s="1" t="s">
        <v>293</v>
      </c>
      <c r="H71" s="1" t="s">
        <v>42</v>
      </c>
      <c r="I71" s="1" t="s">
        <v>26</v>
      </c>
      <c r="J71" s="1" t="s">
        <v>27</v>
      </c>
      <c r="K71" s="1">
        <v>31</v>
      </c>
      <c r="L71" s="1">
        <v>1.68</v>
      </c>
      <c r="M71" s="1">
        <f t="shared" si="1"/>
        <v>52.08</v>
      </c>
    </row>
    <row r="72" spans="1:13" x14ac:dyDescent="0.35">
      <c r="A72" s="1" t="s">
        <v>91</v>
      </c>
      <c r="B72" s="6">
        <v>44772</v>
      </c>
      <c r="C72" s="2">
        <v>7</v>
      </c>
      <c r="D72" s="2">
        <v>30</v>
      </c>
      <c r="E72" s="1">
        <v>2022</v>
      </c>
      <c r="F72" s="1" t="s">
        <v>303</v>
      </c>
      <c r="G72" s="1" t="s">
        <v>292</v>
      </c>
      <c r="H72" s="1" t="s">
        <v>7</v>
      </c>
      <c r="I72" s="1" t="s">
        <v>8</v>
      </c>
      <c r="J72" s="1" t="s">
        <v>38</v>
      </c>
      <c r="K72" s="1">
        <v>56</v>
      </c>
      <c r="L72" s="1">
        <v>1.87</v>
      </c>
      <c r="M72" s="1">
        <f t="shared" si="1"/>
        <v>104.72</v>
      </c>
    </row>
    <row r="73" spans="1:13" x14ac:dyDescent="0.35">
      <c r="A73" s="1" t="s">
        <v>92</v>
      </c>
      <c r="B73" s="6">
        <v>44775</v>
      </c>
      <c r="C73" s="2">
        <v>8</v>
      </c>
      <c r="D73" s="2">
        <v>2</v>
      </c>
      <c r="E73" s="1">
        <v>2022</v>
      </c>
      <c r="F73" s="1" t="s">
        <v>304</v>
      </c>
      <c r="G73" s="1" t="s">
        <v>292</v>
      </c>
      <c r="H73" s="1" t="s">
        <v>7</v>
      </c>
      <c r="I73" s="1" t="s">
        <v>15</v>
      </c>
      <c r="J73" s="1" t="s">
        <v>36</v>
      </c>
      <c r="K73" s="1">
        <v>137</v>
      </c>
      <c r="L73" s="1">
        <v>2.84</v>
      </c>
      <c r="M73" s="1">
        <f t="shared" si="1"/>
        <v>389.08</v>
      </c>
    </row>
    <row r="74" spans="1:13" x14ac:dyDescent="0.35">
      <c r="A74" s="1" t="s">
        <v>93</v>
      </c>
      <c r="B74" s="6">
        <v>44778</v>
      </c>
      <c r="C74" s="2">
        <v>8</v>
      </c>
      <c r="D74" s="2">
        <v>5</v>
      </c>
      <c r="E74" s="1">
        <v>2022</v>
      </c>
      <c r="F74" s="1" t="s">
        <v>304</v>
      </c>
      <c r="G74" s="1" t="s">
        <v>293</v>
      </c>
      <c r="H74" s="1" t="s">
        <v>14</v>
      </c>
      <c r="I74" s="1" t="s">
        <v>15</v>
      </c>
      <c r="J74" s="1" t="s">
        <v>16</v>
      </c>
      <c r="K74" s="1">
        <v>107</v>
      </c>
      <c r="L74" s="1">
        <v>1.87</v>
      </c>
      <c r="M74" s="1">
        <f t="shared" si="1"/>
        <v>200.09</v>
      </c>
    </row>
    <row r="75" spans="1:13" x14ac:dyDescent="0.35">
      <c r="A75" s="1" t="s">
        <v>94</v>
      </c>
      <c r="B75" s="6">
        <v>44781</v>
      </c>
      <c r="C75" s="2">
        <v>8</v>
      </c>
      <c r="D75" s="2">
        <v>8</v>
      </c>
      <c r="E75" s="1">
        <v>2022</v>
      </c>
      <c r="F75" s="1" t="s">
        <v>304</v>
      </c>
      <c r="G75" s="1" t="s">
        <v>292</v>
      </c>
      <c r="H75" s="1" t="s">
        <v>18</v>
      </c>
      <c r="I75" s="1" t="s">
        <v>8</v>
      </c>
      <c r="J75" s="1" t="s">
        <v>9</v>
      </c>
      <c r="K75" s="1">
        <v>24</v>
      </c>
      <c r="L75" s="1">
        <v>1.77</v>
      </c>
      <c r="M75" s="1">
        <f t="shared" si="1"/>
        <v>42.480000000000004</v>
      </c>
    </row>
    <row r="76" spans="1:13" x14ac:dyDescent="0.35">
      <c r="A76" s="1" t="s">
        <v>95</v>
      </c>
      <c r="B76" s="6">
        <v>44784</v>
      </c>
      <c r="C76" s="2">
        <v>8</v>
      </c>
      <c r="D76" s="2">
        <v>11</v>
      </c>
      <c r="E76" s="1">
        <v>2022</v>
      </c>
      <c r="F76" s="1" t="s">
        <v>304</v>
      </c>
      <c r="G76" s="1" t="s">
        <v>292</v>
      </c>
      <c r="H76" s="1" t="s">
        <v>18</v>
      </c>
      <c r="I76" s="1" t="s">
        <v>11</v>
      </c>
      <c r="J76" s="1" t="s">
        <v>12</v>
      </c>
      <c r="K76" s="1">
        <v>30</v>
      </c>
      <c r="L76" s="1">
        <v>3.49</v>
      </c>
      <c r="M76" s="1">
        <f t="shared" si="1"/>
        <v>104.7</v>
      </c>
    </row>
    <row r="77" spans="1:13" x14ac:dyDescent="0.35">
      <c r="A77" s="1" t="s">
        <v>96</v>
      </c>
      <c r="B77" s="6">
        <v>44787</v>
      </c>
      <c r="C77" s="2">
        <v>8</v>
      </c>
      <c r="D77" s="2">
        <v>14</v>
      </c>
      <c r="E77" s="1">
        <v>2022</v>
      </c>
      <c r="F77" s="1" t="s">
        <v>304</v>
      </c>
      <c r="G77" s="1" t="s">
        <v>293</v>
      </c>
      <c r="H77" s="1" t="s">
        <v>42</v>
      </c>
      <c r="I77" s="1" t="s">
        <v>15</v>
      </c>
      <c r="J77" s="1" t="s">
        <v>16</v>
      </c>
      <c r="K77" s="1">
        <v>70</v>
      </c>
      <c r="L77" s="1">
        <v>1.87</v>
      </c>
      <c r="M77" s="1">
        <f t="shared" si="1"/>
        <v>130.9</v>
      </c>
    </row>
    <row r="78" spans="1:13" x14ac:dyDescent="0.35">
      <c r="A78" s="1" t="s">
        <v>97</v>
      </c>
      <c r="B78" s="6">
        <v>44790</v>
      </c>
      <c r="C78" s="2">
        <v>8</v>
      </c>
      <c r="D78" s="2">
        <v>17</v>
      </c>
      <c r="E78" s="1">
        <v>2022</v>
      </c>
      <c r="F78" s="1" t="s">
        <v>304</v>
      </c>
      <c r="G78" s="1" t="s">
        <v>292</v>
      </c>
      <c r="H78" s="1" t="s">
        <v>7</v>
      </c>
      <c r="I78" s="1" t="s">
        <v>15</v>
      </c>
      <c r="J78" s="1" t="s">
        <v>20</v>
      </c>
      <c r="K78" s="1">
        <v>31</v>
      </c>
      <c r="L78" s="1">
        <v>2.1800000000000002</v>
      </c>
      <c r="M78" s="1">
        <f t="shared" si="1"/>
        <v>67.58</v>
      </c>
    </row>
    <row r="79" spans="1:13" x14ac:dyDescent="0.35">
      <c r="A79" s="1" t="s">
        <v>98</v>
      </c>
      <c r="B79" s="6">
        <v>44793</v>
      </c>
      <c r="C79" s="2">
        <v>8</v>
      </c>
      <c r="D79" s="2">
        <v>20</v>
      </c>
      <c r="E79" s="1">
        <v>2022</v>
      </c>
      <c r="F79" s="1" t="s">
        <v>304</v>
      </c>
      <c r="G79" s="1" t="s">
        <v>292</v>
      </c>
      <c r="H79" s="1" t="s">
        <v>7</v>
      </c>
      <c r="I79" s="1" t="s">
        <v>8</v>
      </c>
      <c r="J79" s="1" t="s">
        <v>9</v>
      </c>
      <c r="K79" s="1">
        <v>109</v>
      </c>
      <c r="L79" s="1">
        <v>1.77</v>
      </c>
      <c r="M79" s="1">
        <f t="shared" si="1"/>
        <v>192.93</v>
      </c>
    </row>
    <row r="80" spans="1:13" x14ac:dyDescent="0.35">
      <c r="A80" s="1" t="s">
        <v>99</v>
      </c>
      <c r="B80" s="6">
        <v>44796</v>
      </c>
      <c r="C80" s="2">
        <v>8</v>
      </c>
      <c r="D80" s="2">
        <v>23</v>
      </c>
      <c r="E80" s="1">
        <v>2022</v>
      </c>
      <c r="F80" s="1" t="s">
        <v>304</v>
      </c>
      <c r="G80" s="1" t="s">
        <v>292</v>
      </c>
      <c r="H80" s="1" t="s">
        <v>7</v>
      </c>
      <c r="I80" s="1" t="s">
        <v>11</v>
      </c>
      <c r="J80" s="1" t="s">
        <v>12</v>
      </c>
      <c r="K80" s="1">
        <v>21</v>
      </c>
      <c r="L80" s="1">
        <v>3.49</v>
      </c>
      <c r="M80" s="1">
        <f t="shared" si="1"/>
        <v>73.290000000000006</v>
      </c>
    </row>
    <row r="81" spans="1:13" x14ac:dyDescent="0.35">
      <c r="A81" s="1" t="s">
        <v>100</v>
      </c>
      <c r="B81" s="6">
        <v>44799</v>
      </c>
      <c r="C81" s="2">
        <v>8</v>
      </c>
      <c r="D81" s="2">
        <v>26</v>
      </c>
      <c r="E81" s="1">
        <v>2022</v>
      </c>
      <c r="F81" s="1" t="s">
        <v>304</v>
      </c>
      <c r="G81" s="1" t="s">
        <v>293</v>
      </c>
      <c r="H81" s="1" t="s">
        <v>14</v>
      </c>
      <c r="I81" s="1" t="s">
        <v>15</v>
      </c>
      <c r="J81" s="1" t="s">
        <v>16</v>
      </c>
      <c r="K81" s="1">
        <v>80</v>
      </c>
      <c r="L81" s="1">
        <v>1.87</v>
      </c>
      <c r="M81" s="1">
        <f t="shared" si="1"/>
        <v>149.60000000000002</v>
      </c>
    </row>
    <row r="82" spans="1:13" x14ac:dyDescent="0.35">
      <c r="A82" s="1" t="s">
        <v>101</v>
      </c>
      <c r="B82" s="6">
        <v>44802</v>
      </c>
      <c r="C82" s="2">
        <v>8</v>
      </c>
      <c r="D82" s="2">
        <v>29</v>
      </c>
      <c r="E82" s="1">
        <v>2022</v>
      </c>
      <c r="F82" s="1" t="s">
        <v>304</v>
      </c>
      <c r="G82" s="1" t="s">
        <v>292</v>
      </c>
      <c r="H82" s="1" t="s">
        <v>18</v>
      </c>
      <c r="I82" s="1" t="s">
        <v>8</v>
      </c>
      <c r="J82" s="1" t="s">
        <v>38</v>
      </c>
      <c r="K82" s="1">
        <v>75</v>
      </c>
      <c r="L82" s="1">
        <v>1.87</v>
      </c>
      <c r="M82" s="1">
        <f t="shared" si="1"/>
        <v>140.25</v>
      </c>
    </row>
    <row r="83" spans="1:13" x14ac:dyDescent="0.35">
      <c r="A83" s="1" t="s">
        <v>102</v>
      </c>
      <c r="B83" s="6">
        <v>44805</v>
      </c>
      <c r="C83" s="2">
        <v>9</v>
      </c>
      <c r="D83" s="2">
        <v>1</v>
      </c>
      <c r="E83" s="1">
        <v>2022</v>
      </c>
      <c r="F83" s="1" t="s">
        <v>305</v>
      </c>
      <c r="G83" s="1" t="s">
        <v>292</v>
      </c>
      <c r="H83" s="1" t="s">
        <v>18</v>
      </c>
      <c r="I83" s="1" t="s">
        <v>15</v>
      </c>
      <c r="J83" s="1" t="s">
        <v>36</v>
      </c>
      <c r="K83" s="1">
        <v>74</v>
      </c>
      <c r="L83" s="1">
        <v>2.84</v>
      </c>
      <c r="M83" s="1">
        <f t="shared" si="1"/>
        <v>210.16</v>
      </c>
    </row>
    <row r="84" spans="1:13" x14ac:dyDescent="0.35">
      <c r="A84" s="1" t="s">
        <v>103</v>
      </c>
      <c r="B84" s="6">
        <v>44808</v>
      </c>
      <c r="C84" s="2">
        <v>9</v>
      </c>
      <c r="D84" s="2">
        <v>4</v>
      </c>
      <c r="E84" s="1">
        <v>2022</v>
      </c>
      <c r="F84" s="1" t="s">
        <v>305</v>
      </c>
      <c r="G84" s="1" t="s">
        <v>293</v>
      </c>
      <c r="H84" s="1" t="s">
        <v>42</v>
      </c>
      <c r="I84" s="1" t="s">
        <v>8</v>
      </c>
      <c r="J84" s="1" t="s">
        <v>9</v>
      </c>
      <c r="K84" s="1">
        <v>45</v>
      </c>
      <c r="L84" s="1">
        <v>1.77</v>
      </c>
      <c r="M84" s="1">
        <f t="shared" si="1"/>
        <v>79.650000000000006</v>
      </c>
    </row>
    <row r="85" spans="1:13" x14ac:dyDescent="0.35">
      <c r="A85" s="1" t="s">
        <v>104</v>
      </c>
      <c r="B85" s="6">
        <v>44811</v>
      </c>
      <c r="C85" s="2">
        <v>9</v>
      </c>
      <c r="D85" s="2">
        <v>7</v>
      </c>
      <c r="E85" s="1">
        <v>2022</v>
      </c>
      <c r="F85" s="1" t="s">
        <v>305</v>
      </c>
      <c r="G85" s="1" t="s">
        <v>292</v>
      </c>
      <c r="H85" s="1" t="s">
        <v>7</v>
      </c>
      <c r="I85" s="1" t="s">
        <v>15</v>
      </c>
      <c r="J85" s="1" t="s">
        <v>20</v>
      </c>
      <c r="K85" s="1">
        <v>28</v>
      </c>
      <c r="L85" s="1">
        <v>2.1800000000000002</v>
      </c>
      <c r="M85" s="1">
        <f t="shared" si="1"/>
        <v>61.040000000000006</v>
      </c>
    </row>
    <row r="86" spans="1:13" x14ac:dyDescent="0.35">
      <c r="A86" s="1" t="s">
        <v>105</v>
      </c>
      <c r="B86" s="6">
        <v>44814</v>
      </c>
      <c r="C86" s="2">
        <v>9</v>
      </c>
      <c r="D86" s="2">
        <v>10</v>
      </c>
      <c r="E86" s="1">
        <v>2022</v>
      </c>
      <c r="F86" s="1" t="s">
        <v>305</v>
      </c>
      <c r="G86" s="1" t="s">
        <v>292</v>
      </c>
      <c r="H86" s="1" t="s">
        <v>7</v>
      </c>
      <c r="I86" s="1" t="s">
        <v>8</v>
      </c>
      <c r="J86" s="1" t="s">
        <v>9</v>
      </c>
      <c r="K86" s="1">
        <v>143</v>
      </c>
      <c r="L86" s="1">
        <v>1.77</v>
      </c>
      <c r="M86" s="1">
        <f t="shared" si="1"/>
        <v>253.11</v>
      </c>
    </row>
    <row r="87" spans="1:13" x14ac:dyDescent="0.35">
      <c r="A87" s="1" t="s">
        <v>106</v>
      </c>
      <c r="B87" s="6">
        <v>44817</v>
      </c>
      <c r="C87" s="2">
        <v>9</v>
      </c>
      <c r="D87" s="2">
        <v>13</v>
      </c>
      <c r="E87" s="1">
        <v>2022</v>
      </c>
      <c r="F87" s="1" t="s">
        <v>305</v>
      </c>
      <c r="G87" s="1" t="s">
        <v>292</v>
      </c>
      <c r="H87" s="1" t="s">
        <v>7</v>
      </c>
      <c r="I87" s="1" t="s">
        <v>26</v>
      </c>
      <c r="J87" s="1" t="s">
        <v>107</v>
      </c>
      <c r="K87" s="1">
        <v>27</v>
      </c>
      <c r="L87" s="1">
        <v>3.15</v>
      </c>
      <c r="M87" s="1">
        <f t="shared" si="1"/>
        <v>85.05</v>
      </c>
    </row>
    <row r="88" spans="1:13" x14ac:dyDescent="0.35">
      <c r="A88" s="1" t="s">
        <v>108</v>
      </c>
      <c r="B88" s="6">
        <v>44820</v>
      </c>
      <c r="C88" s="2">
        <v>9</v>
      </c>
      <c r="D88" s="2">
        <v>16</v>
      </c>
      <c r="E88" s="1">
        <v>2022</v>
      </c>
      <c r="F88" s="1" t="s">
        <v>305</v>
      </c>
      <c r="G88" s="1" t="s">
        <v>293</v>
      </c>
      <c r="H88" s="1" t="s">
        <v>14</v>
      </c>
      <c r="I88" s="1" t="s">
        <v>8</v>
      </c>
      <c r="J88" s="1" t="s">
        <v>9</v>
      </c>
      <c r="K88" s="1">
        <v>133</v>
      </c>
      <c r="L88" s="1">
        <v>1.77</v>
      </c>
      <c r="M88" s="1">
        <f t="shared" si="1"/>
        <v>235.41</v>
      </c>
    </row>
    <row r="89" spans="1:13" x14ac:dyDescent="0.35">
      <c r="A89" s="1" t="s">
        <v>109</v>
      </c>
      <c r="B89" s="6">
        <v>44823</v>
      </c>
      <c r="C89" s="2">
        <v>9</v>
      </c>
      <c r="D89" s="2">
        <v>19</v>
      </c>
      <c r="E89" s="1">
        <v>2022</v>
      </c>
      <c r="F89" s="1" t="s">
        <v>305</v>
      </c>
      <c r="G89" s="1" t="s">
        <v>292</v>
      </c>
      <c r="H89" s="1" t="s">
        <v>18</v>
      </c>
      <c r="I89" s="1" t="s">
        <v>15</v>
      </c>
      <c r="J89" s="1" t="s">
        <v>20</v>
      </c>
      <c r="K89" s="1">
        <v>110</v>
      </c>
      <c r="L89" s="1">
        <v>2.1800000000000002</v>
      </c>
      <c r="M89" s="1">
        <f t="shared" si="1"/>
        <v>239.8</v>
      </c>
    </row>
    <row r="90" spans="1:13" x14ac:dyDescent="0.35">
      <c r="A90" s="1" t="s">
        <v>110</v>
      </c>
      <c r="B90" s="6">
        <v>44826</v>
      </c>
      <c r="C90" s="2">
        <v>9</v>
      </c>
      <c r="D90" s="2">
        <v>22</v>
      </c>
      <c r="E90" s="1">
        <v>2022</v>
      </c>
      <c r="F90" s="1" t="s">
        <v>305</v>
      </c>
      <c r="G90" s="1" t="s">
        <v>292</v>
      </c>
      <c r="H90" s="1" t="s">
        <v>18</v>
      </c>
      <c r="I90" s="1" t="s">
        <v>15</v>
      </c>
      <c r="J90" s="1" t="s">
        <v>16</v>
      </c>
      <c r="K90" s="1">
        <v>65</v>
      </c>
      <c r="L90" s="1">
        <v>1.87</v>
      </c>
      <c r="M90" s="1">
        <f t="shared" si="1"/>
        <v>121.55000000000001</v>
      </c>
    </row>
    <row r="91" spans="1:13" x14ac:dyDescent="0.35">
      <c r="A91" s="1" t="s">
        <v>111</v>
      </c>
      <c r="B91" s="6">
        <v>44829</v>
      </c>
      <c r="C91" s="2">
        <v>9</v>
      </c>
      <c r="D91" s="2">
        <v>25</v>
      </c>
      <c r="E91" s="1">
        <v>2022</v>
      </c>
      <c r="F91" s="1" t="s">
        <v>305</v>
      </c>
      <c r="G91" s="1" t="s">
        <v>293</v>
      </c>
      <c r="H91" s="1" t="s">
        <v>42</v>
      </c>
      <c r="I91" s="1" t="s">
        <v>8</v>
      </c>
      <c r="J91" s="1" t="s">
        <v>38</v>
      </c>
      <c r="K91" s="1">
        <v>33</v>
      </c>
      <c r="L91" s="1">
        <v>1.87</v>
      </c>
      <c r="M91" s="1">
        <f t="shared" si="1"/>
        <v>61.71</v>
      </c>
    </row>
    <row r="92" spans="1:13" x14ac:dyDescent="0.35">
      <c r="A92" s="1" t="s">
        <v>112</v>
      </c>
      <c r="B92" s="6">
        <v>44832</v>
      </c>
      <c r="C92" s="2">
        <v>9</v>
      </c>
      <c r="D92" s="2">
        <v>28</v>
      </c>
      <c r="E92" s="1">
        <v>2022</v>
      </c>
      <c r="F92" s="1" t="s">
        <v>305</v>
      </c>
      <c r="G92" s="1" t="s">
        <v>292</v>
      </c>
      <c r="H92" s="1" t="s">
        <v>7</v>
      </c>
      <c r="I92" s="1" t="s">
        <v>15</v>
      </c>
      <c r="J92" s="1" t="s">
        <v>20</v>
      </c>
      <c r="K92" s="1">
        <v>81</v>
      </c>
      <c r="L92" s="1">
        <v>2.1800000000000002</v>
      </c>
      <c r="M92" s="1">
        <f t="shared" si="1"/>
        <v>176.58</v>
      </c>
    </row>
    <row r="93" spans="1:13" x14ac:dyDescent="0.35">
      <c r="A93" s="1" t="s">
        <v>113</v>
      </c>
      <c r="B93" s="6">
        <v>44835</v>
      </c>
      <c r="C93" s="2">
        <v>10</v>
      </c>
      <c r="D93" s="2">
        <v>1</v>
      </c>
      <c r="E93" s="1">
        <v>2022</v>
      </c>
      <c r="F93" s="1" t="s">
        <v>306</v>
      </c>
      <c r="G93" s="1" t="s">
        <v>292</v>
      </c>
      <c r="H93" s="1" t="s">
        <v>7</v>
      </c>
      <c r="I93" s="1" t="s">
        <v>8</v>
      </c>
      <c r="J93" s="1" t="s">
        <v>9</v>
      </c>
      <c r="K93" s="1">
        <v>77</v>
      </c>
      <c r="L93" s="1">
        <v>1.77</v>
      </c>
      <c r="M93" s="1">
        <f t="shared" si="1"/>
        <v>136.29</v>
      </c>
    </row>
    <row r="94" spans="1:13" x14ac:dyDescent="0.35">
      <c r="A94" s="1" t="s">
        <v>114</v>
      </c>
      <c r="B94" s="6">
        <v>44838</v>
      </c>
      <c r="C94" s="2">
        <v>10</v>
      </c>
      <c r="D94" s="2">
        <v>4</v>
      </c>
      <c r="E94" s="1">
        <v>2022</v>
      </c>
      <c r="F94" s="1" t="s">
        <v>306</v>
      </c>
      <c r="G94" s="1" t="s">
        <v>292</v>
      </c>
      <c r="H94" s="1" t="s">
        <v>7</v>
      </c>
      <c r="I94" s="1" t="s">
        <v>11</v>
      </c>
      <c r="J94" s="1" t="s">
        <v>12</v>
      </c>
      <c r="K94" s="1">
        <v>38</v>
      </c>
      <c r="L94" s="1">
        <v>3.49</v>
      </c>
      <c r="M94" s="1">
        <f t="shared" si="1"/>
        <v>132.62</v>
      </c>
    </row>
    <row r="95" spans="1:13" x14ac:dyDescent="0.35">
      <c r="A95" s="1" t="s">
        <v>115</v>
      </c>
      <c r="B95" s="6">
        <v>44841</v>
      </c>
      <c r="C95" s="2">
        <v>10</v>
      </c>
      <c r="D95" s="2">
        <v>7</v>
      </c>
      <c r="E95" s="1">
        <v>2022</v>
      </c>
      <c r="F95" s="1" t="s">
        <v>306</v>
      </c>
      <c r="G95" s="1" t="s">
        <v>293</v>
      </c>
      <c r="H95" s="1" t="s">
        <v>14</v>
      </c>
      <c r="I95" s="1" t="s">
        <v>8</v>
      </c>
      <c r="J95" s="1" t="s">
        <v>9</v>
      </c>
      <c r="K95" s="1">
        <v>40</v>
      </c>
      <c r="L95" s="1">
        <v>1.77</v>
      </c>
      <c r="M95" s="1">
        <f t="shared" si="1"/>
        <v>70.8</v>
      </c>
    </row>
    <row r="96" spans="1:13" x14ac:dyDescent="0.35">
      <c r="A96" s="1" t="s">
        <v>116</v>
      </c>
      <c r="B96" s="6">
        <v>44844</v>
      </c>
      <c r="C96" s="2">
        <v>10</v>
      </c>
      <c r="D96" s="2">
        <v>10</v>
      </c>
      <c r="E96" s="1">
        <v>2022</v>
      </c>
      <c r="F96" s="1" t="s">
        <v>306</v>
      </c>
      <c r="G96" s="1" t="s">
        <v>293</v>
      </c>
      <c r="H96" s="1" t="s">
        <v>14</v>
      </c>
      <c r="I96" s="1" t="s">
        <v>26</v>
      </c>
      <c r="J96" s="1" t="s">
        <v>27</v>
      </c>
      <c r="K96" s="1">
        <v>114</v>
      </c>
      <c r="L96" s="1">
        <v>1.68</v>
      </c>
      <c r="M96" s="1">
        <f t="shared" si="1"/>
        <v>191.51999999999998</v>
      </c>
    </row>
    <row r="97" spans="1:13" x14ac:dyDescent="0.35">
      <c r="A97" s="1" t="s">
        <v>117</v>
      </c>
      <c r="B97" s="6">
        <v>44847</v>
      </c>
      <c r="C97" s="2">
        <v>10</v>
      </c>
      <c r="D97" s="2">
        <v>13</v>
      </c>
      <c r="E97" s="1">
        <v>2022</v>
      </c>
      <c r="F97" s="1" t="s">
        <v>306</v>
      </c>
      <c r="G97" s="1" t="s">
        <v>292</v>
      </c>
      <c r="H97" s="1" t="s">
        <v>18</v>
      </c>
      <c r="I97" s="1" t="s">
        <v>15</v>
      </c>
      <c r="J97" s="1" t="s">
        <v>20</v>
      </c>
      <c r="K97" s="1">
        <v>224</v>
      </c>
      <c r="L97" s="1">
        <v>2.1800000000000002</v>
      </c>
      <c r="M97" s="1">
        <f t="shared" si="1"/>
        <v>488.32000000000005</v>
      </c>
    </row>
    <row r="98" spans="1:13" x14ac:dyDescent="0.35">
      <c r="A98" s="1" t="s">
        <v>118</v>
      </c>
      <c r="B98" s="6">
        <v>44850</v>
      </c>
      <c r="C98" s="2">
        <v>10</v>
      </c>
      <c r="D98" s="2">
        <v>16</v>
      </c>
      <c r="E98" s="1">
        <v>2022</v>
      </c>
      <c r="F98" s="1" t="s">
        <v>306</v>
      </c>
      <c r="G98" s="1" t="s">
        <v>292</v>
      </c>
      <c r="H98" s="1" t="s">
        <v>18</v>
      </c>
      <c r="I98" s="1" t="s">
        <v>8</v>
      </c>
      <c r="J98" s="1" t="s">
        <v>9</v>
      </c>
      <c r="K98" s="1">
        <v>141</v>
      </c>
      <c r="L98" s="1">
        <v>1.77</v>
      </c>
      <c r="M98" s="1">
        <f t="shared" si="1"/>
        <v>249.57</v>
      </c>
    </row>
    <row r="99" spans="1:13" x14ac:dyDescent="0.35">
      <c r="A99" s="1" t="s">
        <v>119</v>
      </c>
      <c r="B99" s="6">
        <v>44853</v>
      </c>
      <c r="C99" s="2">
        <v>10</v>
      </c>
      <c r="D99" s="2">
        <v>19</v>
      </c>
      <c r="E99" s="1">
        <v>2022</v>
      </c>
      <c r="F99" s="1" t="s">
        <v>306</v>
      </c>
      <c r="G99" s="1" t="s">
        <v>292</v>
      </c>
      <c r="H99" s="1" t="s">
        <v>18</v>
      </c>
      <c r="I99" s="1" t="s">
        <v>11</v>
      </c>
      <c r="J99" s="1" t="s">
        <v>12</v>
      </c>
      <c r="K99" s="1">
        <v>32</v>
      </c>
      <c r="L99" s="1">
        <v>3.49</v>
      </c>
      <c r="M99" s="1">
        <f t="shared" si="1"/>
        <v>111.68</v>
      </c>
    </row>
    <row r="100" spans="1:13" x14ac:dyDescent="0.35">
      <c r="A100" s="1" t="s">
        <v>120</v>
      </c>
      <c r="B100" s="6">
        <v>44856</v>
      </c>
      <c r="C100" s="2">
        <v>10</v>
      </c>
      <c r="D100" s="2">
        <v>22</v>
      </c>
      <c r="E100" s="1">
        <v>2022</v>
      </c>
      <c r="F100" s="1" t="s">
        <v>306</v>
      </c>
      <c r="G100" s="1" t="s">
        <v>293</v>
      </c>
      <c r="H100" s="1" t="s">
        <v>42</v>
      </c>
      <c r="I100" s="1" t="s">
        <v>8</v>
      </c>
      <c r="J100" s="1" t="s">
        <v>9</v>
      </c>
      <c r="K100" s="1">
        <v>20</v>
      </c>
      <c r="L100" s="1">
        <v>1.77</v>
      </c>
      <c r="M100" s="1">
        <f t="shared" si="1"/>
        <v>35.4</v>
      </c>
    </row>
    <row r="101" spans="1:13" x14ac:dyDescent="0.35">
      <c r="A101" s="1" t="s">
        <v>121</v>
      </c>
      <c r="B101" s="6">
        <v>44859</v>
      </c>
      <c r="C101" s="2">
        <v>10</v>
      </c>
      <c r="D101" s="2">
        <v>25</v>
      </c>
      <c r="E101" s="1">
        <v>2022</v>
      </c>
      <c r="F101" s="1" t="s">
        <v>306</v>
      </c>
      <c r="G101" s="1" t="s">
        <v>292</v>
      </c>
      <c r="H101" s="1" t="s">
        <v>7</v>
      </c>
      <c r="I101" s="1" t="s">
        <v>15</v>
      </c>
      <c r="J101" s="1" t="s">
        <v>20</v>
      </c>
      <c r="K101" s="1">
        <v>40</v>
      </c>
      <c r="L101" s="1">
        <v>2.1800000000000002</v>
      </c>
      <c r="M101" s="1">
        <f t="shared" si="1"/>
        <v>87.2</v>
      </c>
    </row>
    <row r="102" spans="1:13" x14ac:dyDescent="0.35">
      <c r="A102" s="1" t="s">
        <v>122</v>
      </c>
      <c r="B102" s="6">
        <v>44862</v>
      </c>
      <c r="C102" s="2">
        <v>10</v>
      </c>
      <c r="D102" s="2">
        <v>28</v>
      </c>
      <c r="E102" s="1">
        <v>2022</v>
      </c>
      <c r="F102" s="1" t="s">
        <v>306</v>
      </c>
      <c r="G102" s="1" t="s">
        <v>292</v>
      </c>
      <c r="H102" s="1" t="s">
        <v>7</v>
      </c>
      <c r="I102" s="1" t="s">
        <v>15</v>
      </c>
      <c r="J102" s="1" t="s">
        <v>16</v>
      </c>
      <c r="K102" s="1">
        <v>49</v>
      </c>
      <c r="L102" s="1">
        <v>1.87</v>
      </c>
      <c r="M102" s="1">
        <f t="shared" si="1"/>
        <v>91.63000000000001</v>
      </c>
    </row>
    <row r="103" spans="1:13" x14ac:dyDescent="0.35">
      <c r="A103" s="1" t="s">
        <v>123</v>
      </c>
      <c r="B103" s="6">
        <v>44865</v>
      </c>
      <c r="C103" s="2">
        <v>10</v>
      </c>
      <c r="D103" s="2">
        <v>31</v>
      </c>
      <c r="E103" s="1">
        <v>2022</v>
      </c>
      <c r="F103" s="1" t="s">
        <v>306</v>
      </c>
      <c r="G103" s="1" t="s">
        <v>292</v>
      </c>
      <c r="H103" s="1" t="s">
        <v>7</v>
      </c>
      <c r="I103" s="1" t="s">
        <v>11</v>
      </c>
      <c r="J103" s="1" t="s">
        <v>12</v>
      </c>
      <c r="K103" s="1">
        <v>46</v>
      </c>
      <c r="L103" s="1">
        <v>3.49</v>
      </c>
      <c r="M103" s="1">
        <f t="shared" si="1"/>
        <v>160.54000000000002</v>
      </c>
    </row>
    <row r="104" spans="1:13" x14ac:dyDescent="0.35">
      <c r="A104" s="1" t="s">
        <v>124</v>
      </c>
      <c r="B104" s="6">
        <v>44868</v>
      </c>
      <c r="C104" s="2">
        <v>11</v>
      </c>
      <c r="D104" s="2">
        <v>3</v>
      </c>
      <c r="E104" s="1">
        <v>2022</v>
      </c>
      <c r="F104" s="1" t="s">
        <v>307</v>
      </c>
      <c r="G104" s="1" t="s">
        <v>293</v>
      </c>
      <c r="H104" s="1" t="s">
        <v>14</v>
      </c>
      <c r="I104" s="1" t="s">
        <v>8</v>
      </c>
      <c r="J104" s="1" t="s">
        <v>9</v>
      </c>
      <c r="K104" s="1">
        <v>39</v>
      </c>
      <c r="L104" s="1">
        <v>1.77</v>
      </c>
      <c r="M104" s="1">
        <f t="shared" si="1"/>
        <v>69.03</v>
      </c>
    </row>
    <row r="105" spans="1:13" x14ac:dyDescent="0.35">
      <c r="A105" s="1" t="s">
        <v>125</v>
      </c>
      <c r="B105" s="6">
        <v>44871</v>
      </c>
      <c r="C105" s="2">
        <v>11</v>
      </c>
      <c r="D105" s="2">
        <v>6</v>
      </c>
      <c r="E105" s="1">
        <v>2022</v>
      </c>
      <c r="F105" s="1" t="s">
        <v>307</v>
      </c>
      <c r="G105" s="1" t="s">
        <v>293</v>
      </c>
      <c r="H105" s="1" t="s">
        <v>14</v>
      </c>
      <c r="I105" s="1" t="s">
        <v>26</v>
      </c>
      <c r="J105" s="1" t="s">
        <v>27</v>
      </c>
      <c r="K105" s="1">
        <v>62</v>
      </c>
      <c r="L105" s="1">
        <v>1.68</v>
      </c>
      <c r="M105" s="1">
        <f t="shared" si="1"/>
        <v>104.16</v>
      </c>
    </row>
    <row r="106" spans="1:13" x14ac:dyDescent="0.35">
      <c r="A106" s="1" t="s">
        <v>126</v>
      </c>
      <c r="B106" s="6">
        <v>44874</v>
      </c>
      <c r="C106" s="2">
        <v>11</v>
      </c>
      <c r="D106" s="2">
        <v>9</v>
      </c>
      <c r="E106" s="1">
        <v>2022</v>
      </c>
      <c r="F106" s="1" t="s">
        <v>307</v>
      </c>
      <c r="G106" s="1" t="s">
        <v>292</v>
      </c>
      <c r="H106" s="1" t="s">
        <v>18</v>
      </c>
      <c r="I106" s="1" t="s">
        <v>8</v>
      </c>
      <c r="J106" s="1" t="s">
        <v>9</v>
      </c>
      <c r="K106" s="1">
        <v>90</v>
      </c>
      <c r="L106" s="1">
        <v>1.77</v>
      </c>
      <c r="M106" s="1">
        <f t="shared" si="1"/>
        <v>159.30000000000001</v>
      </c>
    </row>
    <row r="107" spans="1:13" x14ac:dyDescent="0.35">
      <c r="A107" s="1" t="s">
        <v>127</v>
      </c>
      <c r="B107" s="6">
        <v>44877</v>
      </c>
      <c r="C107" s="2">
        <v>11</v>
      </c>
      <c r="D107" s="2">
        <v>12</v>
      </c>
      <c r="E107" s="1">
        <v>2022</v>
      </c>
      <c r="F107" s="1" t="s">
        <v>307</v>
      </c>
      <c r="G107" s="1" t="s">
        <v>293</v>
      </c>
      <c r="H107" s="1" t="s">
        <v>42</v>
      </c>
      <c r="I107" s="1" t="s">
        <v>15</v>
      </c>
      <c r="J107" s="1" t="s">
        <v>20</v>
      </c>
      <c r="K107" s="1">
        <v>103</v>
      </c>
      <c r="L107" s="1">
        <v>2.1800000000000002</v>
      </c>
      <c r="M107" s="1">
        <f t="shared" si="1"/>
        <v>224.54000000000002</v>
      </c>
    </row>
    <row r="108" spans="1:13" x14ac:dyDescent="0.35">
      <c r="A108" s="1" t="s">
        <v>128</v>
      </c>
      <c r="B108" s="6">
        <v>44880</v>
      </c>
      <c r="C108" s="2">
        <v>11</v>
      </c>
      <c r="D108" s="2">
        <v>15</v>
      </c>
      <c r="E108" s="1">
        <v>2022</v>
      </c>
      <c r="F108" s="1" t="s">
        <v>307</v>
      </c>
      <c r="G108" s="1" t="s">
        <v>293</v>
      </c>
      <c r="H108" s="1" t="s">
        <v>42</v>
      </c>
      <c r="I108" s="1" t="s">
        <v>15</v>
      </c>
      <c r="J108" s="1" t="s">
        <v>36</v>
      </c>
      <c r="K108" s="1">
        <v>32</v>
      </c>
      <c r="L108" s="1">
        <v>2.84</v>
      </c>
      <c r="M108" s="1">
        <f t="shared" si="1"/>
        <v>90.88</v>
      </c>
    </row>
    <row r="109" spans="1:13" x14ac:dyDescent="0.35">
      <c r="A109" s="1" t="s">
        <v>129</v>
      </c>
      <c r="B109" s="6">
        <v>44883</v>
      </c>
      <c r="C109" s="2">
        <v>11</v>
      </c>
      <c r="D109" s="2">
        <v>18</v>
      </c>
      <c r="E109" s="1">
        <v>2022</v>
      </c>
      <c r="F109" s="1" t="s">
        <v>307</v>
      </c>
      <c r="G109" s="1" t="s">
        <v>292</v>
      </c>
      <c r="H109" s="1" t="s">
        <v>7</v>
      </c>
      <c r="I109" s="1" t="s">
        <v>8</v>
      </c>
      <c r="J109" s="1" t="s">
        <v>38</v>
      </c>
      <c r="K109" s="1">
        <v>66</v>
      </c>
      <c r="L109" s="1">
        <v>1.87</v>
      </c>
      <c r="M109" s="1">
        <f t="shared" si="1"/>
        <v>123.42</v>
      </c>
    </row>
    <row r="110" spans="1:13" x14ac:dyDescent="0.35">
      <c r="A110" s="1" t="s">
        <v>130</v>
      </c>
      <c r="B110" s="6">
        <v>44886</v>
      </c>
      <c r="C110" s="2">
        <v>11</v>
      </c>
      <c r="D110" s="2">
        <v>21</v>
      </c>
      <c r="E110" s="1">
        <v>2022</v>
      </c>
      <c r="F110" s="1" t="s">
        <v>307</v>
      </c>
      <c r="G110" s="1" t="s">
        <v>292</v>
      </c>
      <c r="H110" s="1" t="s">
        <v>7</v>
      </c>
      <c r="I110" s="1" t="s">
        <v>15</v>
      </c>
      <c r="J110" s="1" t="s">
        <v>36</v>
      </c>
      <c r="K110" s="1">
        <v>97</v>
      </c>
      <c r="L110" s="1">
        <v>2.84</v>
      </c>
      <c r="M110" s="1">
        <f t="shared" si="1"/>
        <v>275.47999999999996</v>
      </c>
    </row>
    <row r="111" spans="1:13" x14ac:dyDescent="0.35">
      <c r="A111" s="1" t="s">
        <v>131</v>
      </c>
      <c r="B111" s="6">
        <v>44889</v>
      </c>
      <c r="C111" s="2">
        <v>11</v>
      </c>
      <c r="D111" s="2">
        <v>24</v>
      </c>
      <c r="E111" s="1">
        <v>2022</v>
      </c>
      <c r="F111" s="1" t="s">
        <v>307</v>
      </c>
      <c r="G111" s="1" t="s">
        <v>293</v>
      </c>
      <c r="H111" s="1" t="s">
        <v>14</v>
      </c>
      <c r="I111" s="1" t="s">
        <v>8</v>
      </c>
      <c r="J111" s="1" t="s">
        <v>9</v>
      </c>
      <c r="K111" s="1">
        <v>30</v>
      </c>
      <c r="L111" s="1">
        <v>1.77</v>
      </c>
      <c r="M111" s="1">
        <f t="shared" si="1"/>
        <v>53.1</v>
      </c>
    </row>
    <row r="112" spans="1:13" x14ac:dyDescent="0.35">
      <c r="A112" s="1" t="s">
        <v>132</v>
      </c>
      <c r="B112" s="6">
        <v>44892</v>
      </c>
      <c r="C112" s="2">
        <v>11</v>
      </c>
      <c r="D112" s="2">
        <v>27</v>
      </c>
      <c r="E112" s="1">
        <v>2022</v>
      </c>
      <c r="F112" s="1" t="s">
        <v>307</v>
      </c>
      <c r="G112" s="1" t="s">
        <v>293</v>
      </c>
      <c r="H112" s="1" t="s">
        <v>14</v>
      </c>
      <c r="I112" s="1" t="s">
        <v>26</v>
      </c>
      <c r="J112" s="1" t="s">
        <v>27</v>
      </c>
      <c r="K112" s="1">
        <v>29</v>
      </c>
      <c r="L112" s="1">
        <v>1.68</v>
      </c>
      <c r="M112" s="1">
        <f t="shared" si="1"/>
        <v>48.72</v>
      </c>
    </row>
    <row r="113" spans="1:13" x14ac:dyDescent="0.35">
      <c r="A113" s="1" t="s">
        <v>133</v>
      </c>
      <c r="B113" s="6">
        <v>44895</v>
      </c>
      <c r="C113" s="2">
        <v>11</v>
      </c>
      <c r="D113" s="2">
        <v>30</v>
      </c>
      <c r="E113" s="1">
        <v>2022</v>
      </c>
      <c r="F113" s="1" t="s">
        <v>307</v>
      </c>
      <c r="G113" s="1" t="s">
        <v>292</v>
      </c>
      <c r="H113" s="1" t="s">
        <v>18</v>
      </c>
      <c r="I113" s="1" t="s">
        <v>8</v>
      </c>
      <c r="J113" s="1" t="s">
        <v>9</v>
      </c>
      <c r="K113" s="1">
        <v>92</v>
      </c>
      <c r="L113" s="1">
        <v>1.77</v>
      </c>
      <c r="M113" s="1">
        <f t="shared" si="1"/>
        <v>162.84</v>
      </c>
    </row>
    <row r="114" spans="1:13" x14ac:dyDescent="0.35">
      <c r="A114" s="1" t="s">
        <v>134</v>
      </c>
      <c r="B114" s="6">
        <v>44898</v>
      </c>
      <c r="C114" s="2">
        <v>12</v>
      </c>
      <c r="D114" s="2">
        <v>3</v>
      </c>
      <c r="E114" s="1">
        <v>2022</v>
      </c>
      <c r="F114" s="1" t="s">
        <v>308</v>
      </c>
      <c r="G114" s="1" t="s">
        <v>293</v>
      </c>
      <c r="H114" s="1" t="s">
        <v>42</v>
      </c>
      <c r="I114" s="1" t="s">
        <v>15</v>
      </c>
      <c r="J114" s="1" t="s">
        <v>20</v>
      </c>
      <c r="K114" s="1">
        <v>139</v>
      </c>
      <c r="L114" s="1">
        <v>2.1800000000000002</v>
      </c>
      <c r="M114" s="1">
        <f t="shared" si="1"/>
        <v>303.02000000000004</v>
      </c>
    </row>
    <row r="115" spans="1:13" x14ac:dyDescent="0.35">
      <c r="A115" s="1" t="s">
        <v>135</v>
      </c>
      <c r="B115" s="6">
        <v>44901</v>
      </c>
      <c r="C115" s="2">
        <v>12</v>
      </c>
      <c r="D115" s="2">
        <v>6</v>
      </c>
      <c r="E115" s="1">
        <v>2022</v>
      </c>
      <c r="F115" s="1" t="s">
        <v>308</v>
      </c>
      <c r="G115" s="1" t="s">
        <v>293</v>
      </c>
      <c r="H115" s="1" t="s">
        <v>42</v>
      </c>
      <c r="I115" s="1" t="s">
        <v>15</v>
      </c>
      <c r="J115" s="1" t="s">
        <v>36</v>
      </c>
      <c r="K115" s="1">
        <v>29</v>
      </c>
      <c r="L115" s="1">
        <v>2.84</v>
      </c>
      <c r="M115" s="1">
        <f t="shared" si="1"/>
        <v>82.36</v>
      </c>
    </row>
    <row r="116" spans="1:13" x14ac:dyDescent="0.35">
      <c r="A116" s="1" t="s">
        <v>136</v>
      </c>
      <c r="B116" s="6">
        <v>44904</v>
      </c>
      <c r="C116" s="2">
        <v>12</v>
      </c>
      <c r="D116" s="2">
        <v>9</v>
      </c>
      <c r="E116" s="1">
        <v>2022</v>
      </c>
      <c r="F116" s="1" t="s">
        <v>308</v>
      </c>
      <c r="G116" s="1" t="s">
        <v>292</v>
      </c>
      <c r="H116" s="1" t="s">
        <v>7</v>
      </c>
      <c r="I116" s="1" t="s">
        <v>8</v>
      </c>
      <c r="J116" s="1" t="s">
        <v>137</v>
      </c>
      <c r="K116" s="1">
        <v>30</v>
      </c>
      <c r="L116" s="1">
        <v>2.27</v>
      </c>
      <c r="M116" s="1">
        <f t="shared" si="1"/>
        <v>68.099999999999994</v>
      </c>
    </row>
    <row r="117" spans="1:13" x14ac:dyDescent="0.35">
      <c r="A117" s="1" t="s">
        <v>138</v>
      </c>
      <c r="B117" s="6">
        <v>44907</v>
      </c>
      <c r="C117" s="2">
        <v>12</v>
      </c>
      <c r="D117" s="2">
        <v>12</v>
      </c>
      <c r="E117" s="1">
        <v>2022</v>
      </c>
      <c r="F117" s="1" t="s">
        <v>308</v>
      </c>
      <c r="G117" s="1" t="s">
        <v>292</v>
      </c>
      <c r="H117" s="1" t="s">
        <v>7</v>
      </c>
      <c r="I117" s="1" t="s">
        <v>15</v>
      </c>
      <c r="J117" s="1" t="s">
        <v>16</v>
      </c>
      <c r="K117" s="1">
        <v>36</v>
      </c>
      <c r="L117" s="1">
        <v>1.87</v>
      </c>
      <c r="M117" s="1">
        <f t="shared" si="1"/>
        <v>67.320000000000007</v>
      </c>
    </row>
    <row r="118" spans="1:13" x14ac:dyDescent="0.35">
      <c r="A118" s="1" t="s">
        <v>139</v>
      </c>
      <c r="B118" s="6">
        <v>44910</v>
      </c>
      <c r="C118" s="2">
        <v>12</v>
      </c>
      <c r="D118" s="2">
        <v>15</v>
      </c>
      <c r="E118" s="1">
        <v>2022</v>
      </c>
      <c r="F118" s="1" t="s">
        <v>308</v>
      </c>
      <c r="G118" s="1" t="s">
        <v>292</v>
      </c>
      <c r="H118" s="1" t="s">
        <v>7</v>
      </c>
      <c r="I118" s="1" t="s">
        <v>11</v>
      </c>
      <c r="J118" s="1" t="s">
        <v>12</v>
      </c>
      <c r="K118" s="1">
        <v>41</v>
      </c>
      <c r="L118" s="1">
        <v>3.49</v>
      </c>
      <c r="M118" s="1">
        <f t="shared" si="1"/>
        <v>143.09</v>
      </c>
    </row>
    <row r="119" spans="1:13" x14ac:dyDescent="0.35">
      <c r="A119" s="1" t="s">
        <v>140</v>
      </c>
      <c r="B119" s="6">
        <v>44913</v>
      </c>
      <c r="C119" s="2">
        <v>12</v>
      </c>
      <c r="D119" s="2">
        <v>18</v>
      </c>
      <c r="E119" s="1">
        <v>2022</v>
      </c>
      <c r="F119" s="1" t="s">
        <v>308</v>
      </c>
      <c r="G119" s="1" t="s">
        <v>293</v>
      </c>
      <c r="H119" s="1" t="s">
        <v>14</v>
      </c>
      <c r="I119" s="1" t="s">
        <v>8</v>
      </c>
      <c r="J119" s="1" t="s">
        <v>9</v>
      </c>
      <c r="K119" s="1">
        <v>44</v>
      </c>
      <c r="L119" s="1">
        <v>1.77</v>
      </c>
      <c r="M119" s="1">
        <f t="shared" si="1"/>
        <v>77.88</v>
      </c>
    </row>
    <row r="120" spans="1:13" x14ac:dyDescent="0.35">
      <c r="A120" s="1" t="s">
        <v>141</v>
      </c>
      <c r="B120" s="6">
        <v>44916</v>
      </c>
      <c r="C120" s="2">
        <v>12</v>
      </c>
      <c r="D120" s="2">
        <v>21</v>
      </c>
      <c r="E120" s="1">
        <v>2022</v>
      </c>
      <c r="F120" s="1" t="s">
        <v>308</v>
      </c>
      <c r="G120" s="1" t="s">
        <v>293</v>
      </c>
      <c r="H120" s="1" t="s">
        <v>14</v>
      </c>
      <c r="I120" s="1" t="s">
        <v>26</v>
      </c>
      <c r="J120" s="1" t="s">
        <v>27</v>
      </c>
      <c r="K120" s="1">
        <v>29</v>
      </c>
      <c r="L120" s="1">
        <v>1.68</v>
      </c>
      <c r="M120" s="1">
        <f t="shared" si="1"/>
        <v>48.72</v>
      </c>
    </row>
    <row r="121" spans="1:13" x14ac:dyDescent="0.35">
      <c r="A121" s="1" t="s">
        <v>142</v>
      </c>
      <c r="B121" s="6">
        <v>44919</v>
      </c>
      <c r="C121" s="2">
        <v>12</v>
      </c>
      <c r="D121" s="2">
        <v>24</v>
      </c>
      <c r="E121" s="1">
        <v>2022</v>
      </c>
      <c r="F121" s="1" t="s">
        <v>308</v>
      </c>
      <c r="G121" s="1" t="s">
        <v>292</v>
      </c>
      <c r="H121" s="1" t="s">
        <v>18</v>
      </c>
      <c r="I121" s="1" t="s">
        <v>15</v>
      </c>
      <c r="J121" s="1" t="s">
        <v>20</v>
      </c>
      <c r="K121" s="1">
        <v>237</v>
      </c>
      <c r="L121" s="1">
        <v>2.1800000000000002</v>
      </c>
      <c r="M121" s="1">
        <f t="shared" si="1"/>
        <v>516.66000000000008</v>
      </c>
    </row>
    <row r="122" spans="1:13" x14ac:dyDescent="0.35">
      <c r="A122" s="1" t="s">
        <v>143</v>
      </c>
      <c r="B122" s="6">
        <v>44922</v>
      </c>
      <c r="C122" s="2">
        <v>12</v>
      </c>
      <c r="D122" s="2">
        <v>27</v>
      </c>
      <c r="E122" s="1">
        <v>2022</v>
      </c>
      <c r="F122" s="1" t="s">
        <v>308</v>
      </c>
      <c r="G122" s="1" t="s">
        <v>292</v>
      </c>
      <c r="H122" s="1" t="s">
        <v>18</v>
      </c>
      <c r="I122" s="1" t="s">
        <v>15</v>
      </c>
      <c r="J122" s="1" t="s">
        <v>16</v>
      </c>
      <c r="K122" s="1">
        <v>65</v>
      </c>
      <c r="L122" s="1">
        <v>1.87</v>
      </c>
      <c r="M122" s="1">
        <f t="shared" si="1"/>
        <v>121.55000000000001</v>
      </c>
    </row>
    <row r="123" spans="1:13" x14ac:dyDescent="0.35">
      <c r="A123" s="1" t="s">
        <v>144</v>
      </c>
      <c r="B123" s="6">
        <v>44925</v>
      </c>
      <c r="C123" s="2">
        <v>12</v>
      </c>
      <c r="D123" s="2">
        <v>30</v>
      </c>
      <c r="E123" s="1">
        <v>2022</v>
      </c>
      <c r="F123" s="1" t="s">
        <v>308</v>
      </c>
      <c r="G123" s="1" t="s">
        <v>293</v>
      </c>
      <c r="H123" s="1" t="s">
        <v>42</v>
      </c>
      <c r="I123" s="1" t="s">
        <v>15</v>
      </c>
      <c r="J123" s="1" t="s">
        <v>20</v>
      </c>
      <c r="K123" s="1">
        <v>83</v>
      </c>
      <c r="L123" s="1">
        <v>2.1800000000000002</v>
      </c>
      <c r="M123" s="1">
        <f t="shared" si="1"/>
        <v>180.94000000000003</v>
      </c>
    </row>
    <row r="124" spans="1:13" x14ac:dyDescent="0.35">
      <c r="A124" s="1" t="s">
        <v>145</v>
      </c>
      <c r="B124" s="6">
        <v>44928</v>
      </c>
      <c r="C124" s="2">
        <v>1</v>
      </c>
      <c r="D124" s="2">
        <v>2</v>
      </c>
      <c r="E124" s="1">
        <v>2023</v>
      </c>
      <c r="F124" s="1" t="s">
        <v>297</v>
      </c>
      <c r="G124" s="1" t="s">
        <v>292</v>
      </c>
      <c r="H124" s="1" t="s">
        <v>7</v>
      </c>
      <c r="I124" s="1" t="s">
        <v>15</v>
      </c>
      <c r="J124" s="1" t="s">
        <v>20</v>
      </c>
      <c r="K124" s="1">
        <v>32</v>
      </c>
      <c r="L124" s="1">
        <v>2.1800000000000002</v>
      </c>
      <c r="M124" s="1">
        <f t="shared" si="1"/>
        <v>69.760000000000005</v>
      </c>
    </row>
    <row r="125" spans="1:13" x14ac:dyDescent="0.35">
      <c r="A125" s="1" t="s">
        <v>146</v>
      </c>
      <c r="B125" s="6">
        <v>44931</v>
      </c>
      <c r="C125" s="2">
        <v>1</v>
      </c>
      <c r="D125" s="2">
        <v>5</v>
      </c>
      <c r="E125" s="1">
        <v>2023</v>
      </c>
      <c r="F125" s="1" t="s">
        <v>297</v>
      </c>
      <c r="G125" s="1" t="s">
        <v>292</v>
      </c>
      <c r="H125" s="1" t="s">
        <v>7</v>
      </c>
      <c r="I125" s="1" t="s">
        <v>8</v>
      </c>
      <c r="J125" s="1" t="s">
        <v>9</v>
      </c>
      <c r="K125" s="1">
        <v>63</v>
      </c>
      <c r="L125" s="1">
        <v>1.77</v>
      </c>
      <c r="M125" s="1">
        <f t="shared" si="1"/>
        <v>111.51</v>
      </c>
    </row>
    <row r="126" spans="1:13" x14ac:dyDescent="0.35">
      <c r="A126" s="1" t="s">
        <v>147</v>
      </c>
      <c r="B126" s="6">
        <v>44934</v>
      </c>
      <c r="C126" s="2">
        <v>1</v>
      </c>
      <c r="D126" s="2">
        <v>8</v>
      </c>
      <c r="E126" s="1">
        <v>2023</v>
      </c>
      <c r="F126" s="1" t="s">
        <v>297</v>
      </c>
      <c r="G126" s="1" t="s">
        <v>292</v>
      </c>
      <c r="H126" s="1" t="s">
        <v>7</v>
      </c>
      <c r="I126" s="1" t="s">
        <v>26</v>
      </c>
      <c r="J126" s="1" t="s">
        <v>107</v>
      </c>
      <c r="K126" s="1">
        <v>29</v>
      </c>
      <c r="L126" s="1">
        <v>3.15</v>
      </c>
      <c r="M126" s="1">
        <f t="shared" si="1"/>
        <v>91.35</v>
      </c>
    </row>
    <row r="127" spans="1:13" x14ac:dyDescent="0.35">
      <c r="A127" s="1" t="s">
        <v>148</v>
      </c>
      <c r="B127" s="6">
        <v>44937</v>
      </c>
      <c r="C127" s="2">
        <v>1</v>
      </c>
      <c r="D127" s="2">
        <v>11</v>
      </c>
      <c r="E127" s="1">
        <v>2023</v>
      </c>
      <c r="F127" s="1" t="s">
        <v>297</v>
      </c>
      <c r="G127" s="1" t="s">
        <v>293</v>
      </c>
      <c r="H127" s="1" t="s">
        <v>14</v>
      </c>
      <c r="I127" s="1" t="s">
        <v>8</v>
      </c>
      <c r="J127" s="1" t="s">
        <v>38</v>
      </c>
      <c r="K127" s="1">
        <v>77</v>
      </c>
      <c r="L127" s="1">
        <v>1.87</v>
      </c>
      <c r="M127" s="1">
        <f t="shared" si="1"/>
        <v>143.99</v>
      </c>
    </row>
    <row r="128" spans="1:13" x14ac:dyDescent="0.35">
      <c r="A128" s="1" t="s">
        <v>149</v>
      </c>
      <c r="B128" s="6">
        <v>44940</v>
      </c>
      <c r="C128" s="2">
        <v>1</v>
      </c>
      <c r="D128" s="2">
        <v>14</v>
      </c>
      <c r="E128" s="1">
        <v>2023</v>
      </c>
      <c r="F128" s="1" t="s">
        <v>297</v>
      </c>
      <c r="G128" s="1" t="s">
        <v>293</v>
      </c>
      <c r="H128" s="1" t="s">
        <v>14</v>
      </c>
      <c r="I128" s="1" t="s">
        <v>15</v>
      </c>
      <c r="J128" s="1" t="s">
        <v>36</v>
      </c>
      <c r="K128" s="1">
        <v>80</v>
      </c>
      <c r="L128" s="1">
        <v>2.84</v>
      </c>
      <c r="M128" s="1">
        <f t="shared" si="1"/>
        <v>227.2</v>
      </c>
    </row>
    <row r="129" spans="1:13" x14ac:dyDescent="0.35">
      <c r="A129" s="1" t="s">
        <v>150</v>
      </c>
      <c r="B129" s="6">
        <v>44943</v>
      </c>
      <c r="C129" s="2">
        <v>1</v>
      </c>
      <c r="D129" s="2">
        <v>17</v>
      </c>
      <c r="E129" s="1">
        <v>2023</v>
      </c>
      <c r="F129" s="1" t="s">
        <v>297</v>
      </c>
      <c r="G129" s="1" t="s">
        <v>292</v>
      </c>
      <c r="H129" s="1" t="s">
        <v>18</v>
      </c>
      <c r="I129" s="1" t="s">
        <v>8</v>
      </c>
      <c r="J129" s="1" t="s">
        <v>9</v>
      </c>
      <c r="K129" s="1">
        <v>102</v>
      </c>
      <c r="L129" s="1">
        <v>1.77</v>
      </c>
      <c r="M129" s="1">
        <f t="shared" si="1"/>
        <v>180.54</v>
      </c>
    </row>
    <row r="130" spans="1:13" x14ac:dyDescent="0.35">
      <c r="A130" s="1" t="s">
        <v>151</v>
      </c>
      <c r="B130" s="6">
        <v>44946</v>
      </c>
      <c r="C130" s="2">
        <v>1</v>
      </c>
      <c r="D130" s="2">
        <v>20</v>
      </c>
      <c r="E130" s="1">
        <v>2023</v>
      </c>
      <c r="F130" s="1" t="s">
        <v>297</v>
      </c>
      <c r="G130" s="1" t="s">
        <v>292</v>
      </c>
      <c r="H130" s="1" t="s">
        <v>18</v>
      </c>
      <c r="I130" s="1" t="s">
        <v>11</v>
      </c>
      <c r="J130" s="1" t="s">
        <v>12</v>
      </c>
      <c r="K130" s="1">
        <v>31</v>
      </c>
      <c r="L130" s="1">
        <v>3.49</v>
      </c>
      <c r="M130" s="1">
        <f t="shared" si="1"/>
        <v>108.19000000000001</v>
      </c>
    </row>
    <row r="131" spans="1:13" x14ac:dyDescent="0.35">
      <c r="A131" s="1" t="s">
        <v>152</v>
      </c>
      <c r="B131" s="6">
        <v>44949</v>
      </c>
      <c r="C131" s="2">
        <v>1</v>
      </c>
      <c r="D131" s="2">
        <v>23</v>
      </c>
      <c r="E131" s="1">
        <v>2023</v>
      </c>
      <c r="F131" s="1" t="s">
        <v>297</v>
      </c>
      <c r="G131" s="1" t="s">
        <v>293</v>
      </c>
      <c r="H131" s="1" t="s">
        <v>42</v>
      </c>
      <c r="I131" s="1" t="s">
        <v>8</v>
      </c>
      <c r="J131" s="1" t="s">
        <v>9</v>
      </c>
      <c r="K131" s="1">
        <v>56</v>
      </c>
      <c r="L131" s="1">
        <v>1.77</v>
      </c>
      <c r="M131" s="1">
        <f t="shared" ref="M131:M194" si="2">K131*L131</f>
        <v>99.12</v>
      </c>
    </row>
    <row r="132" spans="1:13" x14ac:dyDescent="0.35">
      <c r="A132" s="1" t="s">
        <v>153</v>
      </c>
      <c r="B132" s="6">
        <v>44952</v>
      </c>
      <c r="C132" s="2">
        <v>1</v>
      </c>
      <c r="D132" s="2">
        <v>26</v>
      </c>
      <c r="E132" s="1">
        <v>2023</v>
      </c>
      <c r="F132" s="1" t="s">
        <v>297</v>
      </c>
      <c r="G132" s="1" t="s">
        <v>292</v>
      </c>
      <c r="H132" s="1" t="s">
        <v>7</v>
      </c>
      <c r="I132" s="1" t="s">
        <v>15</v>
      </c>
      <c r="J132" s="1" t="s">
        <v>20</v>
      </c>
      <c r="K132" s="1">
        <v>52</v>
      </c>
      <c r="L132" s="1">
        <v>2.1800000000000002</v>
      </c>
      <c r="M132" s="1">
        <f t="shared" si="2"/>
        <v>113.36000000000001</v>
      </c>
    </row>
    <row r="133" spans="1:13" x14ac:dyDescent="0.35">
      <c r="A133" s="1" t="s">
        <v>154</v>
      </c>
      <c r="B133" s="6">
        <v>44955</v>
      </c>
      <c r="C133" s="2">
        <v>1</v>
      </c>
      <c r="D133" s="2">
        <v>29</v>
      </c>
      <c r="E133" s="1">
        <v>2023</v>
      </c>
      <c r="F133" s="1" t="s">
        <v>297</v>
      </c>
      <c r="G133" s="1" t="s">
        <v>292</v>
      </c>
      <c r="H133" s="1" t="s">
        <v>7</v>
      </c>
      <c r="I133" s="1" t="s">
        <v>8</v>
      </c>
      <c r="J133" s="1" t="s">
        <v>9</v>
      </c>
      <c r="K133" s="1">
        <v>51</v>
      </c>
      <c r="L133" s="1">
        <v>1.77</v>
      </c>
      <c r="M133" s="1">
        <f t="shared" si="2"/>
        <v>90.27</v>
      </c>
    </row>
    <row r="134" spans="1:13" x14ac:dyDescent="0.35">
      <c r="A134" s="1" t="s">
        <v>155</v>
      </c>
      <c r="B134" s="6">
        <v>44958</v>
      </c>
      <c r="C134" s="2">
        <v>2</v>
      </c>
      <c r="D134" s="2">
        <v>1</v>
      </c>
      <c r="E134" s="1">
        <v>2023</v>
      </c>
      <c r="F134" s="1" t="s">
        <v>298</v>
      </c>
      <c r="G134" s="1" t="s">
        <v>292</v>
      </c>
      <c r="H134" s="1" t="s">
        <v>7</v>
      </c>
      <c r="I134" s="1" t="s">
        <v>26</v>
      </c>
      <c r="J134" s="1" t="s">
        <v>27</v>
      </c>
      <c r="K134" s="1">
        <v>24</v>
      </c>
      <c r="L134" s="1">
        <v>1.68</v>
      </c>
      <c r="M134" s="1">
        <f t="shared" si="2"/>
        <v>40.32</v>
      </c>
    </row>
    <row r="135" spans="1:13" x14ac:dyDescent="0.35">
      <c r="A135" s="1" t="s">
        <v>156</v>
      </c>
      <c r="B135" s="6">
        <v>44961</v>
      </c>
      <c r="C135" s="2">
        <v>2</v>
      </c>
      <c r="D135" s="2">
        <v>4</v>
      </c>
      <c r="E135" s="1">
        <v>2023</v>
      </c>
      <c r="F135" s="1" t="s">
        <v>298</v>
      </c>
      <c r="G135" s="1" t="s">
        <v>293</v>
      </c>
      <c r="H135" s="1" t="s">
        <v>14</v>
      </c>
      <c r="I135" s="1" t="s">
        <v>15</v>
      </c>
      <c r="J135" s="1" t="s">
        <v>20</v>
      </c>
      <c r="K135" s="1">
        <v>58</v>
      </c>
      <c r="L135" s="1">
        <v>2.1800000000000002</v>
      </c>
      <c r="M135" s="1">
        <f t="shared" si="2"/>
        <v>126.44000000000001</v>
      </c>
    </row>
    <row r="136" spans="1:13" x14ac:dyDescent="0.35">
      <c r="A136" s="1" t="s">
        <v>157</v>
      </c>
      <c r="B136" s="6">
        <v>44964</v>
      </c>
      <c r="C136" s="2">
        <v>2</v>
      </c>
      <c r="D136" s="2">
        <v>7</v>
      </c>
      <c r="E136" s="1">
        <v>2023</v>
      </c>
      <c r="F136" s="1" t="s">
        <v>298</v>
      </c>
      <c r="G136" s="1" t="s">
        <v>293</v>
      </c>
      <c r="H136" s="1" t="s">
        <v>14</v>
      </c>
      <c r="I136" s="1" t="s">
        <v>15</v>
      </c>
      <c r="J136" s="1" t="s">
        <v>16</v>
      </c>
      <c r="K136" s="1">
        <v>34</v>
      </c>
      <c r="L136" s="1">
        <v>1.87</v>
      </c>
      <c r="M136" s="1">
        <f t="shared" si="2"/>
        <v>63.580000000000005</v>
      </c>
    </row>
    <row r="137" spans="1:13" x14ac:dyDescent="0.35">
      <c r="A137" s="1" t="s">
        <v>158</v>
      </c>
      <c r="B137" s="6">
        <v>44967</v>
      </c>
      <c r="C137" s="2">
        <v>2</v>
      </c>
      <c r="D137" s="2">
        <v>10</v>
      </c>
      <c r="E137" s="1">
        <v>2023</v>
      </c>
      <c r="F137" s="1" t="s">
        <v>298</v>
      </c>
      <c r="G137" s="1" t="s">
        <v>292</v>
      </c>
      <c r="H137" s="1" t="s">
        <v>18</v>
      </c>
      <c r="I137" s="1" t="s">
        <v>8</v>
      </c>
      <c r="J137" s="1" t="s">
        <v>9</v>
      </c>
      <c r="K137" s="1">
        <v>34</v>
      </c>
      <c r="L137" s="1">
        <v>1.77</v>
      </c>
      <c r="M137" s="1">
        <f t="shared" si="2"/>
        <v>60.18</v>
      </c>
    </row>
    <row r="138" spans="1:13" x14ac:dyDescent="0.35">
      <c r="A138" s="1" t="s">
        <v>159</v>
      </c>
      <c r="B138" s="6">
        <v>44970</v>
      </c>
      <c r="C138" s="2">
        <v>2</v>
      </c>
      <c r="D138" s="2">
        <v>13</v>
      </c>
      <c r="E138" s="1">
        <v>2023</v>
      </c>
      <c r="F138" s="1" t="s">
        <v>298</v>
      </c>
      <c r="G138" s="1" t="s">
        <v>292</v>
      </c>
      <c r="H138" s="1" t="s">
        <v>18</v>
      </c>
      <c r="I138" s="1" t="s">
        <v>26</v>
      </c>
      <c r="J138" s="1" t="s">
        <v>27</v>
      </c>
      <c r="K138" s="1">
        <v>21</v>
      </c>
      <c r="L138" s="1">
        <v>1.68</v>
      </c>
      <c r="M138" s="1">
        <f t="shared" si="2"/>
        <v>35.28</v>
      </c>
    </row>
    <row r="139" spans="1:13" x14ac:dyDescent="0.35">
      <c r="A139" s="1" t="s">
        <v>160</v>
      </c>
      <c r="B139" s="6">
        <v>44973</v>
      </c>
      <c r="C139" s="2">
        <v>2</v>
      </c>
      <c r="D139" s="2">
        <v>16</v>
      </c>
      <c r="E139" s="1">
        <v>2023</v>
      </c>
      <c r="F139" s="1" t="s">
        <v>298</v>
      </c>
      <c r="G139" s="1" t="s">
        <v>293</v>
      </c>
      <c r="H139" s="1" t="s">
        <v>42</v>
      </c>
      <c r="I139" s="1" t="s">
        <v>15</v>
      </c>
      <c r="J139" s="1" t="s">
        <v>36</v>
      </c>
      <c r="K139" s="1">
        <v>29</v>
      </c>
      <c r="L139" s="1">
        <v>2.84</v>
      </c>
      <c r="M139" s="1">
        <f t="shared" si="2"/>
        <v>82.36</v>
      </c>
    </row>
    <row r="140" spans="1:13" x14ac:dyDescent="0.35">
      <c r="A140" s="1" t="s">
        <v>161</v>
      </c>
      <c r="B140" s="6">
        <v>44976</v>
      </c>
      <c r="C140" s="2">
        <v>2</v>
      </c>
      <c r="D140" s="2">
        <v>19</v>
      </c>
      <c r="E140" s="1">
        <v>2023</v>
      </c>
      <c r="F140" s="1" t="s">
        <v>298</v>
      </c>
      <c r="G140" s="1" t="s">
        <v>292</v>
      </c>
      <c r="H140" s="1" t="s">
        <v>7</v>
      </c>
      <c r="I140" s="1" t="s">
        <v>8</v>
      </c>
      <c r="J140" s="1" t="s">
        <v>9</v>
      </c>
      <c r="K140" s="1">
        <v>68</v>
      </c>
      <c r="L140" s="1">
        <v>1.77</v>
      </c>
      <c r="M140" s="1">
        <f t="shared" si="2"/>
        <v>120.36</v>
      </c>
    </row>
    <row r="141" spans="1:13" x14ac:dyDescent="0.35">
      <c r="A141" s="1" t="s">
        <v>162</v>
      </c>
      <c r="B141" s="6">
        <v>44979</v>
      </c>
      <c r="C141" s="2">
        <v>2</v>
      </c>
      <c r="D141" s="2">
        <v>22</v>
      </c>
      <c r="E141" s="1">
        <v>2023</v>
      </c>
      <c r="F141" s="1" t="s">
        <v>298</v>
      </c>
      <c r="G141" s="1" t="s">
        <v>292</v>
      </c>
      <c r="H141" s="1" t="s">
        <v>7</v>
      </c>
      <c r="I141" s="1" t="s">
        <v>26</v>
      </c>
      <c r="J141" s="1" t="s">
        <v>107</v>
      </c>
      <c r="K141" s="1">
        <v>31</v>
      </c>
      <c r="L141" s="1">
        <v>3.15</v>
      </c>
      <c r="M141" s="1">
        <f t="shared" si="2"/>
        <v>97.649999999999991</v>
      </c>
    </row>
    <row r="142" spans="1:13" x14ac:dyDescent="0.35">
      <c r="A142" s="1" t="s">
        <v>163</v>
      </c>
      <c r="B142" s="6">
        <v>44982</v>
      </c>
      <c r="C142" s="2">
        <v>2</v>
      </c>
      <c r="D142" s="2">
        <v>25</v>
      </c>
      <c r="E142" s="1">
        <v>2023</v>
      </c>
      <c r="F142" s="1" t="s">
        <v>298</v>
      </c>
      <c r="G142" s="1" t="s">
        <v>293</v>
      </c>
      <c r="H142" s="1" t="s">
        <v>14</v>
      </c>
      <c r="I142" s="1" t="s">
        <v>15</v>
      </c>
      <c r="J142" s="1" t="s">
        <v>20</v>
      </c>
      <c r="K142" s="1">
        <v>30</v>
      </c>
      <c r="L142" s="1">
        <v>2.1800000000000002</v>
      </c>
      <c r="M142" s="1">
        <f t="shared" si="2"/>
        <v>65.400000000000006</v>
      </c>
    </row>
    <row r="143" spans="1:13" x14ac:dyDescent="0.35">
      <c r="A143" s="1" t="s">
        <v>164</v>
      </c>
      <c r="B143" s="6">
        <v>44985</v>
      </c>
      <c r="C143" s="2">
        <v>2</v>
      </c>
      <c r="D143" s="2">
        <v>28</v>
      </c>
      <c r="E143" s="1">
        <v>2023</v>
      </c>
      <c r="F143" s="1" t="s">
        <v>298</v>
      </c>
      <c r="G143" s="1" t="s">
        <v>293</v>
      </c>
      <c r="H143" s="1" t="s">
        <v>14</v>
      </c>
      <c r="I143" s="1" t="s">
        <v>15</v>
      </c>
      <c r="J143" s="1" t="s">
        <v>16</v>
      </c>
      <c r="K143" s="1">
        <v>232</v>
      </c>
      <c r="L143" s="1">
        <v>1.87</v>
      </c>
      <c r="M143" s="1">
        <f t="shared" si="2"/>
        <v>433.84000000000003</v>
      </c>
    </row>
    <row r="144" spans="1:13" x14ac:dyDescent="0.35">
      <c r="A144" s="1" t="s">
        <v>165</v>
      </c>
      <c r="B144" s="6">
        <v>44987</v>
      </c>
      <c r="C144" s="2">
        <v>3</v>
      </c>
      <c r="D144" s="2">
        <v>2</v>
      </c>
      <c r="E144" s="1">
        <v>2023</v>
      </c>
      <c r="F144" s="1" t="s">
        <v>299</v>
      </c>
      <c r="G144" s="1" t="s">
        <v>292</v>
      </c>
      <c r="H144" s="1" t="s">
        <v>18</v>
      </c>
      <c r="I144" s="1" t="s">
        <v>8</v>
      </c>
      <c r="J144" s="1" t="s">
        <v>38</v>
      </c>
      <c r="K144" s="1">
        <v>68</v>
      </c>
      <c r="L144" s="1">
        <v>1.87</v>
      </c>
      <c r="M144" s="1">
        <f t="shared" si="2"/>
        <v>127.16000000000001</v>
      </c>
    </row>
    <row r="145" spans="1:13" x14ac:dyDescent="0.35">
      <c r="A145" s="1" t="s">
        <v>166</v>
      </c>
      <c r="B145" s="6">
        <v>44990</v>
      </c>
      <c r="C145" s="2">
        <v>3</v>
      </c>
      <c r="D145" s="2">
        <v>5</v>
      </c>
      <c r="E145" s="1">
        <v>2023</v>
      </c>
      <c r="F145" s="1" t="s">
        <v>299</v>
      </c>
      <c r="G145" s="1" t="s">
        <v>292</v>
      </c>
      <c r="H145" s="1" t="s">
        <v>18</v>
      </c>
      <c r="I145" s="1" t="s">
        <v>15</v>
      </c>
      <c r="J145" s="1" t="s">
        <v>36</v>
      </c>
      <c r="K145" s="1">
        <v>97</v>
      </c>
      <c r="L145" s="1">
        <v>2.84</v>
      </c>
      <c r="M145" s="1">
        <f t="shared" si="2"/>
        <v>275.47999999999996</v>
      </c>
    </row>
    <row r="146" spans="1:13" x14ac:dyDescent="0.35">
      <c r="A146" s="1" t="s">
        <v>167</v>
      </c>
      <c r="B146" s="6">
        <v>44993</v>
      </c>
      <c r="C146" s="2">
        <v>3</v>
      </c>
      <c r="D146" s="2">
        <v>8</v>
      </c>
      <c r="E146" s="1">
        <v>2023</v>
      </c>
      <c r="F146" s="1" t="s">
        <v>299</v>
      </c>
      <c r="G146" s="1" t="s">
        <v>293</v>
      </c>
      <c r="H146" s="1" t="s">
        <v>42</v>
      </c>
      <c r="I146" s="1" t="s">
        <v>8</v>
      </c>
      <c r="J146" s="1" t="s">
        <v>38</v>
      </c>
      <c r="K146" s="1">
        <v>86</v>
      </c>
      <c r="L146" s="1">
        <v>1.87</v>
      </c>
      <c r="M146" s="1">
        <f t="shared" si="2"/>
        <v>160.82000000000002</v>
      </c>
    </row>
    <row r="147" spans="1:13" x14ac:dyDescent="0.35">
      <c r="A147" s="1" t="s">
        <v>168</v>
      </c>
      <c r="B147" s="6">
        <v>44996</v>
      </c>
      <c r="C147" s="2">
        <v>3</v>
      </c>
      <c r="D147" s="2">
        <v>11</v>
      </c>
      <c r="E147" s="1">
        <v>2023</v>
      </c>
      <c r="F147" s="1" t="s">
        <v>299</v>
      </c>
      <c r="G147" s="1" t="s">
        <v>293</v>
      </c>
      <c r="H147" s="1" t="s">
        <v>42</v>
      </c>
      <c r="I147" s="1" t="s">
        <v>26</v>
      </c>
      <c r="J147" s="1" t="s">
        <v>27</v>
      </c>
      <c r="K147" s="1">
        <v>41</v>
      </c>
      <c r="L147" s="1">
        <v>1.68</v>
      </c>
      <c r="M147" s="1">
        <f t="shared" si="2"/>
        <v>68.88</v>
      </c>
    </row>
    <row r="148" spans="1:13" x14ac:dyDescent="0.35">
      <c r="A148" s="1" t="s">
        <v>169</v>
      </c>
      <c r="B148" s="6">
        <v>44999</v>
      </c>
      <c r="C148" s="2">
        <v>3</v>
      </c>
      <c r="D148" s="2">
        <v>14</v>
      </c>
      <c r="E148" s="1">
        <v>2023</v>
      </c>
      <c r="F148" s="1" t="s">
        <v>299</v>
      </c>
      <c r="G148" s="1" t="s">
        <v>292</v>
      </c>
      <c r="H148" s="1" t="s">
        <v>7</v>
      </c>
      <c r="I148" s="1" t="s">
        <v>8</v>
      </c>
      <c r="J148" s="1" t="s">
        <v>9</v>
      </c>
      <c r="K148" s="1">
        <v>93</v>
      </c>
      <c r="L148" s="1">
        <v>1.77</v>
      </c>
      <c r="M148" s="1">
        <f t="shared" si="2"/>
        <v>164.61</v>
      </c>
    </row>
    <row r="149" spans="1:13" x14ac:dyDescent="0.35">
      <c r="A149" s="1" t="s">
        <v>170</v>
      </c>
      <c r="B149" s="6">
        <v>45002</v>
      </c>
      <c r="C149" s="2">
        <v>3</v>
      </c>
      <c r="D149" s="2">
        <v>17</v>
      </c>
      <c r="E149" s="1">
        <v>2023</v>
      </c>
      <c r="F149" s="1" t="s">
        <v>299</v>
      </c>
      <c r="G149" s="1" t="s">
        <v>292</v>
      </c>
      <c r="H149" s="1" t="s">
        <v>7</v>
      </c>
      <c r="I149" s="1" t="s">
        <v>26</v>
      </c>
      <c r="J149" s="1" t="s">
        <v>27</v>
      </c>
      <c r="K149" s="1">
        <v>47</v>
      </c>
      <c r="L149" s="1">
        <v>1.68</v>
      </c>
      <c r="M149" s="1">
        <f t="shared" si="2"/>
        <v>78.959999999999994</v>
      </c>
    </row>
    <row r="150" spans="1:13" x14ac:dyDescent="0.35">
      <c r="A150" s="1" t="s">
        <v>171</v>
      </c>
      <c r="B150" s="6">
        <v>45005</v>
      </c>
      <c r="C150" s="2">
        <v>3</v>
      </c>
      <c r="D150" s="2">
        <v>20</v>
      </c>
      <c r="E150" s="1">
        <v>2023</v>
      </c>
      <c r="F150" s="1" t="s">
        <v>299</v>
      </c>
      <c r="G150" s="1" t="s">
        <v>293</v>
      </c>
      <c r="H150" s="1" t="s">
        <v>14</v>
      </c>
      <c r="I150" s="1" t="s">
        <v>8</v>
      </c>
      <c r="J150" s="1" t="s">
        <v>9</v>
      </c>
      <c r="K150" s="1">
        <v>103</v>
      </c>
      <c r="L150" s="1">
        <v>1.77</v>
      </c>
      <c r="M150" s="1">
        <f t="shared" si="2"/>
        <v>182.31</v>
      </c>
    </row>
    <row r="151" spans="1:13" x14ac:dyDescent="0.35">
      <c r="A151" s="1" t="s">
        <v>172</v>
      </c>
      <c r="B151" s="6">
        <v>45008</v>
      </c>
      <c r="C151" s="2">
        <v>3</v>
      </c>
      <c r="D151" s="2">
        <v>23</v>
      </c>
      <c r="E151" s="1">
        <v>2023</v>
      </c>
      <c r="F151" s="1" t="s">
        <v>299</v>
      </c>
      <c r="G151" s="1" t="s">
        <v>293</v>
      </c>
      <c r="H151" s="1" t="s">
        <v>14</v>
      </c>
      <c r="I151" s="1" t="s">
        <v>26</v>
      </c>
      <c r="J151" s="1" t="s">
        <v>27</v>
      </c>
      <c r="K151" s="1">
        <v>33</v>
      </c>
      <c r="L151" s="1">
        <v>1.68</v>
      </c>
      <c r="M151" s="1">
        <f t="shared" si="2"/>
        <v>55.44</v>
      </c>
    </row>
    <row r="152" spans="1:13" x14ac:dyDescent="0.35">
      <c r="A152" s="1" t="s">
        <v>173</v>
      </c>
      <c r="B152" s="6">
        <v>45011</v>
      </c>
      <c r="C152" s="2">
        <v>3</v>
      </c>
      <c r="D152" s="2">
        <v>26</v>
      </c>
      <c r="E152" s="1">
        <v>2023</v>
      </c>
      <c r="F152" s="1" t="s">
        <v>299</v>
      </c>
      <c r="G152" s="1" t="s">
        <v>292</v>
      </c>
      <c r="H152" s="1" t="s">
        <v>18</v>
      </c>
      <c r="I152" s="1" t="s">
        <v>8</v>
      </c>
      <c r="J152" s="1" t="s">
        <v>38</v>
      </c>
      <c r="K152" s="1">
        <v>57</v>
      </c>
      <c r="L152" s="1">
        <v>1.87</v>
      </c>
      <c r="M152" s="1">
        <f t="shared" si="2"/>
        <v>106.59</v>
      </c>
    </row>
    <row r="153" spans="1:13" x14ac:dyDescent="0.35">
      <c r="A153" s="1" t="s">
        <v>174</v>
      </c>
      <c r="B153" s="6">
        <v>45014</v>
      </c>
      <c r="C153" s="2">
        <v>3</v>
      </c>
      <c r="D153" s="2">
        <v>29</v>
      </c>
      <c r="E153" s="1">
        <v>2023</v>
      </c>
      <c r="F153" s="1" t="s">
        <v>299</v>
      </c>
      <c r="G153" s="1" t="s">
        <v>292</v>
      </c>
      <c r="H153" s="1" t="s">
        <v>18</v>
      </c>
      <c r="I153" s="1" t="s">
        <v>15</v>
      </c>
      <c r="J153" s="1" t="s">
        <v>36</v>
      </c>
      <c r="K153" s="1">
        <v>65</v>
      </c>
      <c r="L153" s="1">
        <v>2.84</v>
      </c>
      <c r="M153" s="1">
        <f t="shared" si="2"/>
        <v>184.6</v>
      </c>
    </row>
    <row r="154" spans="1:13" x14ac:dyDescent="0.35">
      <c r="A154" s="1" t="s">
        <v>175</v>
      </c>
      <c r="B154" s="6">
        <v>45017</v>
      </c>
      <c r="C154" s="2">
        <v>4</v>
      </c>
      <c r="D154" s="2">
        <v>1</v>
      </c>
      <c r="E154" s="1">
        <v>2023</v>
      </c>
      <c r="F154" s="1" t="s">
        <v>300</v>
      </c>
      <c r="G154" s="1" t="s">
        <v>293</v>
      </c>
      <c r="H154" s="1" t="s">
        <v>42</v>
      </c>
      <c r="I154" s="1" t="s">
        <v>8</v>
      </c>
      <c r="J154" s="1" t="s">
        <v>9</v>
      </c>
      <c r="K154" s="1">
        <v>118</v>
      </c>
      <c r="L154" s="1">
        <v>1.77</v>
      </c>
      <c r="M154" s="1">
        <f t="shared" si="2"/>
        <v>208.86</v>
      </c>
    </row>
    <row r="155" spans="1:13" x14ac:dyDescent="0.35">
      <c r="A155" s="1" t="s">
        <v>176</v>
      </c>
      <c r="B155" s="6">
        <v>45020</v>
      </c>
      <c r="C155" s="2">
        <v>4</v>
      </c>
      <c r="D155" s="2">
        <v>4</v>
      </c>
      <c r="E155" s="1">
        <v>2023</v>
      </c>
      <c r="F155" s="1" t="s">
        <v>300</v>
      </c>
      <c r="G155" s="1" t="s">
        <v>292</v>
      </c>
      <c r="H155" s="1" t="s">
        <v>7</v>
      </c>
      <c r="I155" s="1" t="s">
        <v>15</v>
      </c>
      <c r="J155" s="1" t="s">
        <v>20</v>
      </c>
      <c r="K155" s="1">
        <v>36</v>
      </c>
      <c r="L155" s="1">
        <v>2.1800000000000002</v>
      </c>
      <c r="M155" s="1">
        <f t="shared" si="2"/>
        <v>78.48</v>
      </c>
    </row>
    <row r="156" spans="1:13" x14ac:dyDescent="0.35">
      <c r="A156" s="1" t="s">
        <v>177</v>
      </c>
      <c r="B156" s="6">
        <v>45023</v>
      </c>
      <c r="C156" s="2">
        <v>4</v>
      </c>
      <c r="D156" s="2">
        <v>7</v>
      </c>
      <c r="E156" s="1">
        <v>2023</v>
      </c>
      <c r="F156" s="1" t="s">
        <v>300</v>
      </c>
      <c r="G156" s="1" t="s">
        <v>292</v>
      </c>
      <c r="H156" s="1" t="s">
        <v>7</v>
      </c>
      <c r="I156" s="1" t="s">
        <v>15</v>
      </c>
      <c r="J156" s="1" t="s">
        <v>36</v>
      </c>
      <c r="K156" s="1">
        <v>123</v>
      </c>
      <c r="L156" s="1">
        <v>2.84</v>
      </c>
      <c r="M156" s="1">
        <f t="shared" si="2"/>
        <v>349.32</v>
      </c>
    </row>
    <row r="157" spans="1:13" x14ac:dyDescent="0.35">
      <c r="A157" s="1" t="s">
        <v>178</v>
      </c>
      <c r="B157" s="6">
        <v>45026</v>
      </c>
      <c r="C157" s="2">
        <v>4</v>
      </c>
      <c r="D157" s="2">
        <v>10</v>
      </c>
      <c r="E157" s="1">
        <v>2023</v>
      </c>
      <c r="F157" s="1" t="s">
        <v>300</v>
      </c>
      <c r="G157" s="1" t="s">
        <v>293</v>
      </c>
      <c r="H157" s="1" t="s">
        <v>14</v>
      </c>
      <c r="I157" s="1" t="s">
        <v>8</v>
      </c>
      <c r="J157" s="1" t="s">
        <v>9</v>
      </c>
      <c r="K157" s="1">
        <v>90</v>
      </c>
      <c r="L157" s="1">
        <v>1.77</v>
      </c>
      <c r="M157" s="1">
        <f t="shared" si="2"/>
        <v>159.30000000000001</v>
      </c>
    </row>
    <row r="158" spans="1:13" x14ac:dyDescent="0.35">
      <c r="A158" s="1" t="s">
        <v>179</v>
      </c>
      <c r="B158" s="6">
        <v>45029</v>
      </c>
      <c r="C158" s="2">
        <v>4</v>
      </c>
      <c r="D158" s="2">
        <v>13</v>
      </c>
      <c r="E158" s="1">
        <v>2023</v>
      </c>
      <c r="F158" s="1" t="s">
        <v>300</v>
      </c>
      <c r="G158" s="1" t="s">
        <v>293</v>
      </c>
      <c r="H158" s="1" t="s">
        <v>14</v>
      </c>
      <c r="I158" s="1" t="s">
        <v>11</v>
      </c>
      <c r="J158" s="1" t="s">
        <v>12</v>
      </c>
      <c r="K158" s="1">
        <v>21</v>
      </c>
      <c r="L158" s="1">
        <v>3.49</v>
      </c>
      <c r="M158" s="1">
        <f t="shared" si="2"/>
        <v>73.290000000000006</v>
      </c>
    </row>
    <row r="159" spans="1:13" x14ac:dyDescent="0.35">
      <c r="A159" s="1" t="s">
        <v>180</v>
      </c>
      <c r="B159" s="6">
        <v>45032</v>
      </c>
      <c r="C159" s="2">
        <v>4</v>
      </c>
      <c r="D159" s="2">
        <v>16</v>
      </c>
      <c r="E159" s="1">
        <v>2023</v>
      </c>
      <c r="F159" s="1" t="s">
        <v>300</v>
      </c>
      <c r="G159" s="1" t="s">
        <v>292</v>
      </c>
      <c r="H159" s="1" t="s">
        <v>18</v>
      </c>
      <c r="I159" s="1" t="s">
        <v>8</v>
      </c>
      <c r="J159" s="1" t="s">
        <v>9</v>
      </c>
      <c r="K159" s="1">
        <v>48</v>
      </c>
      <c r="L159" s="1">
        <v>1.77</v>
      </c>
      <c r="M159" s="1">
        <f t="shared" si="2"/>
        <v>84.960000000000008</v>
      </c>
    </row>
    <row r="160" spans="1:13" x14ac:dyDescent="0.35">
      <c r="A160" s="1" t="s">
        <v>181</v>
      </c>
      <c r="B160" s="6">
        <v>45035</v>
      </c>
      <c r="C160" s="2">
        <v>4</v>
      </c>
      <c r="D160" s="2">
        <v>19</v>
      </c>
      <c r="E160" s="1">
        <v>2023</v>
      </c>
      <c r="F160" s="1" t="s">
        <v>300</v>
      </c>
      <c r="G160" s="1" t="s">
        <v>292</v>
      </c>
      <c r="H160" s="1" t="s">
        <v>18</v>
      </c>
      <c r="I160" s="1" t="s">
        <v>26</v>
      </c>
      <c r="J160" s="1" t="s">
        <v>27</v>
      </c>
      <c r="K160" s="1">
        <v>24</v>
      </c>
      <c r="L160" s="1">
        <v>1.68</v>
      </c>
      <c r="M160" s="1">
        <f t="shared" si="2"/>
        <v>40.32</v>
      </c>
    </row>
    <row r="161" spans="1:13" x14ac:dyDescent="0.35">
      <c r="A161" s="1" t="s">
        <v>182</v>
      </c>
      <c r="B161" s="6">
        <v>45038</v>
      </c>
      <c r="C161" s="2">
        <v>4</v>
      </c>
      <c r="D161" s="2">
        <v>22</v>
      </c>
      <c r="E161" s="1">
        <v>2023</v>
      </c>
      <c r="F161" s="1" t="s">
        <v>300</v>
      </c>
      <c r="G161" s="1" t="s">
        <v>293</v>
      </c>
      <c r="H161" s="1" t="s">
        <v>42</v>
      </c>
      <c r="I161" s="1" t="s">
        <v>15</v>
      </c>
      <c r="J161" s="1" t="s">
        <v>16</v>
      </c>
      <c r="K161" s="1">
        <v>67</v>
      </c>
      <c r="L161" s="1">
        <v>1.87</v>
      </c>
      <c r="M161" s="1">
        <f t="shared" si="2"/>
        <v>125.29</v>
      </c>
    </row>
    <row r="162" spans="1:13" x14ac:dyDescent="0.35">
      <c r="A162" s="1" t="s">
        <v>183</v>
      </c>
      <c r="B162" s="6">
        <v>45041</v>
      </c>
      <c r="C162" s="2">
        <v>4</v>
      </c>
      <c r="D162" s="2">
        <v>25</v>
      </c>
      <c r="E162" s="1">
        <v>2023</v>
      </c>
      <c r="F162" s="1" t="s">
        <v>300</v>
      </c>
      <c r="G162" s="1" t="s">
        <v>292</v>
      </c>
      <c r="H162" s="1" t="s">
        <v>7</v>
      </c>
      <c r="I162" s="1" t="s">
        <v>8</v>
      </c>
      <c r="J162" s="1" t="s">
        <v>38</v>
      </c>
      <c r="K162" s="1">
        <v>27</v>
      </c>
      <c r="L162" s="1">
        <v>1.87</v>
      </c>
      <c r="M162" s="1">
        <f t="shared" si="2"/>
        <v>50.49</v>
      </c>
    </row>
    <row r="163" spans="1:13" x14ac:dyDescent="0.35">
      <c r="A163" s="1" t="s">
        <v>184</v>
      </c>
      <c r="B163" s="6">
        <v>45044</v>
      </c>
      <c r="C163" s="2">
        <v>4</v>
      </c>
      <c r="D163" s="2">
        <v>28</v>
      </c>
      <c r="E163" s="1">
        <v>2023</v>
      </c>
      <c r="F163" s="1" t="s">
        <v>300</v>
      </c>
      <c r="G163" s="1" t="s">
        <v>292</v>
      </c>
      <c r="H163" s="1" t="s">
        <v>7</v>
      </c>
      <c r="I163" s="1" t="s">
        <v>15</v>
      </c>
      <c r="J163" s="1" t="s">
        <v>36</v>
      </c>
      <c r="K163" s="1">
        <v>129</v>
      </c>
      <c r="L163" s="1">
        <v>2.84</v>
      </c>
      <c r="M163" s="1">
        <f t="shared" si="2"/>
        <v>366.35999999999996</v>
      </c>
    </row>
    <row r="164" spans="1:13" x14ac:dyDescent="0.35">
      <c r="A164" s="1" t="s">
        <v>185</v>
      </c>
      <c r="B164" s="6">
        <v>45047</v>
      </c>
      <c r="C164" s="2">
        <v>5</v>
      </c>
      <c r="D164" s="2">
        <v>1</v>
      </c>
      <c r="E164" s="1">
        <v>2023</v>
      </c>
      <c r="F164" s="1" t="s">
        <v>301</v>
      </c>
      <c r="G164" s="1" t="s">
        <v>293</v>
      </c>
      <c r="H164" s="1" t="s">
        <v>14</v>
      </c>
      <c r="I164" s="1" t="s">
        <v>15</v>
      </c>
      <c r="J164" s="1" t="s">
        <v>20</v>
      </c>
      <c r="K164" s="1">
        <v>77</v>
      </c>
      <c r="L164" s="1">
        <v>2.1800000000000002</v>
      </c>
      <c r="M164" s="1">
        <f t="shared" si="2"/>
        <v>167.86</v>
      </c>
    </row>
    <row r="165" spans="1:13" x14ac:dyDescent="0.35">
      <c r="A165" s="1" t="s">
        <v>186</v>
      </c>
      <c r="B165" s="6">
        <v>45050</v>
      </c>
      <c r="C165" s="2">
        <v>5</v>
      </c>
      <c r="D165" s="2">
        <v>4</v>
      </c>
      <c r="E165" s="1">
        <v>2023</v>
      </c>
      <c r="F165" s="1" t="s">
        <v>301</v>
      </c>
      <c r="G165" s="1" t="s">
        <v>293</v>
      </c>
      <c r="H165" s="1" t="s">
        <v>14</v>
      </c>
      <c r="I165" s="1" t="s">
        <v>15</v>
      </c>
      <c r="J165" s="1" t="s">
        <v>16</v>
      </c>
      <c r="K165" s="1">
        <v>58</v>
      </c>
      <c r="L165" s="1">
        <v>1.87</v>
      </c>
      <c r="M165" s="1">
        <f t="shared" si="2"/>
        <v>108.46000000000001</v>
      </c>
    </row>
    <row r="166" spans="1:13" x14ac:dyDescent="0.35">
      <c r="A166" s="1" t="s">
        <v>187</v>
      </c>
      <c r="B166" s="6">
        <v>45053</v>
      </c>
      <c r="C166" s="2">
        <v>5</v>
      </c>
      <c r="D166" s="2">
        <v>7</v>
      </c>
      <c r="E166" s="1">
        <v>2023</v>
      </c>
      <c r="F166" s="1" t="s">
        <v>301</v>
      </c>
      <c r="G166" s="1" t="s">
        <v>292</v>
      </c>
      <c r="H166" s="1" t="s">
        <v>18</v>
      </c>
      <c r="I166" s="1" t="s">
        <v>8</v>
      </c>
      <c r="J166" s="1" t="s">
        <v>38</v>
      </c>
      <c r="K166" s="1">
        <v>47</v>
      </c>
      <c r="L166" s="1">
        <v>1.87</v>
      </c>
      <c r="M166" s="1">
        <f t="shared" si="2"/>
        <v>87.89</v>
      </c>
    </row>
    <row r="167" spans="1:13" x14ac:dyDescent="0.35">
      <c r="A167" s="1" t="s">
        <v>188</v>
      </c>
      <c r="B167" s="6">
        <v>45056</v>
      </c>
      <c r="C167" s="2">
        <v>5</v>
      </c>
      <c r="D167" s="2">
        <v>10</v>
      </c>
      <c r="E167" s="1">
        <v>2023</v>
      </c>
      <c r="F167" s="1" t="s">
        <v>301</v>
      </c>
      <c r="G167" s="1" t="s">
        <v>292</v>
      </c>
      <c r="H167" s="1" t="s">
        <v>18</v>
      </c>
      <c r="I167" s="1" t="s">
        <v>15</v>
      </c>
      <c r="J167" s="1" t="s">
        <v>36</v>
      </c>
      <c r="K167" s="1">
        <v>33</v>
      </c>
      <c r="L167" s="1">
        <v>2.84</v>
      </c>
      <c r="M167" s="1">
        <f t="shared" si="2"/>
        <v>93.72</v>
      </c>
    </row>
    <row r="168" spans="1:13" x14ac:dyDescent="0.35">
      <c r="A168" s="1" t="s">
        <v>189</v>
      </c>
      <c r="B168" s="6">
        <v>45059</v>
      </c>
      <c r="C168" s="2">
        <v>5</v>
      </c>
      <c r="D168" s="2">
        <v>13</v>
      </c>
      <c r="E168" s="1">
        <v>2023</v>
      </c>
      <c r="F168" s="1" t="s">
        <v>301</v>
      </c>
      <c r="G168" s="1" t="s">
        <v>293</v>
      </c>
      <c r="H168" s="1" t="s">
        <v>42</v>
      </c>
      <c r="I168" s="1" t="s">
        <v>15</v>
      </c>
      <c r="J168" s="1" t="s">
        <v>16</v>
      </c>
      <c r="K168" s="1">
        <v>82</v>
      </c>
      <c r="L168" s="1">
        <v>1.87</v>
      </c>
      <c r="M168" s="1">
        <f t="shared" si="2"/>
        <v>153.34</v>
      </c>
    </row>
    <row r="169" spans="1:13" x14ac:dyDescent="0.35">
      <c r="A169" s="1" t="s">
        <v>190</v>
      </c>
      <c r="B169" s="6">
        <v>45062</v>
      </c>
      <c r="C169" s="2">
        <v>5</v>
      </c>
      <c r="D169" s="2">
        <v>16</v>
      </c>
      <c r="E169" s="1">
        <v>2023</v>
      </c>
      <c r="F169" s="1" t="s">
        <v>301</v>
      </c>
      <c r="G169" s="1" t="s">
        <v>292</v>
      </c>
      <c r="H169" s="1" t="s">
        <v>7</v>
      </c>
      <c r="I169" s="1" t="s">
        <v>8</v>
      </c>
      <c r="J169" s="1" t="s">
        <v>9</v>
      </c>
      <c r="K169" s="1">
        <v>58</v>
      </c>
      <c r="L169" s="1">
        <v>1.77</v>
      </c>
      <c r="M169" s="1">
        <f t="shared" si="2"/>
        <v>102.66</v>
      </c>
    </row>
    <row r="170" spans="1:13" x14ac:dyDescent="0.35">
      <c r="A170" s="1" t="s">
        <v>191</v>
      </c>
      <c r="B170" s="6">
        <v>45065</v>
      </c>
      <c r="C170" s="2">
        <v>5</v>
      </c>
      <c r="D170" s="2">
        <v>19</v>
      </c>
      <c r="E170" s="1">
        <v>2023</v>
      </c>
      <c r="F170" s="1" t="s">
        <v>301</v>
      </c>
      <c r="G170" s="1" t="s">
        <v>292</v>
      </c>
      <c r="H170" s="1" t="s">
        <v>7</v>
      </c>
      <c r="I170" s="1" t="s">
        <v>26</v>
      </c>
      <c r="J170" s="1" t="s">
        <v>107</v>
      </c>
      <c r="K170" s="1">
        <v>30</v>
      </c>
      <c r="L170" s="1">
        <v>3.15</v>
      </c>
      <c r="M170" s="1">
        <f t="shared" si="2"/>
        <v>94.5</v>
      </c>
    </row>
    <row r="171" spans="1:13" x14ac:dyDescent="0.35">
      <c r="A171" s="1" t="s">
        <v>192</v>
      </c>
      <c r="B171" s="6">
        <v>45068</v>
      </c>
      <c r="C171" s="2">
        <v>5</v>
      </c>
      <c r="D171" s="2">
        <v>22</v>
      </c>
      <c r="E171" s="1">
        <v>2023</v>
      </c>
      <c r="F171" s="1" t="s">
        <v>301</v>
      </c>
      <c r="G171" s="1" t="s">
        <v>293</v>
      </c>
      <c r="H171" s="1" t="s">
        <v>14</v>
      </c>
      <c r="I171" s="1" t="s">
        <v>15</v>
      </c>
      <c r="J171" s="1" t="s">
        <v>16</v>
      </c>
      <c r="K171" s="1">
        <v>43</v>
      </c>
      <c r="L171" s="1">
        <v>1.87</v>
      </c>
      <c r="M171" s="1">
        <f t="shared" si="2"/>
        <v>80.410000000000011</v>
      </c>
    </row>
    <row r="172" spans="1:13" x14ac:dyDescent="0.35">
      <c r="A172" s="1" t="s">
        <v>193</v>
      </c>
      <c r="B172" s="6">
        <v>45071</v>
      </c>
      <c r="C172" s="2">
        <v>5</v>
      </c>
      <c r="D172" s="2">
        <v>25</v>
      </c>
      <c r="E172" s="1">
        <v>2023</v>
      </c>
      <c r="F172" s="1" t="s">
        <v>301</v>
      </c>
      <c r="G172" s="1" t="s">
        <v>292</v>
      </c>
      <c r="H172" s="1" t="s">
        <v>18</v>
      </c>
      <c r="I172" s="1" t="s">
        <v>8</v>
      </c>
      <c r="J172" s="1" t="s">
        <v>9</v>
      </c>
      <c r="K172" s="1">
        <v>84</v>
      </c>
      <c r="L172" s="1">
        <v>1.77</v>
      </c>
      <c r="M172" s="1">
        <f t="shared" si="2"/>
        <v>148.68</v>
      </c>
    </row>
    <row r="173" spans="1:13" x14ac:dyDescent="0.35">
      <c r="A173" s="1" t="s">
        <v>194</v>
      </c>
      <c r="B173" s="6">
        <v>45074</v>
      </c>
      <c r="C173" s="2">
        <v>5</v>
      </c>
      <c r="D173" s="2">
        <v>28</v>
      </c>
      <c r="E173" s="1">
        <v>2023</v>
      </c>
      <c r="F173" s="1" t="s">
        <v>301</v>
      </c>
      <c r="G173" s="1" t="s">
        <v>293</v>
      </c>
      <c r="H173" s="1" t="s">
        <v>42</v>
      </c>
      <c r="I173" s="1" t="s">
        <v>15</v>
      </c>
      <c r="J173" s="1" t="s">
        <v>20</v>
      </c>
      <c r="K173" s="1">
        <v>36</v>
      </c>
      <c r="L173" s="1">
        <v>2.1800000000000002</v>
      </c>
      <c r="M173" s="1">
        <f t="shared" si="2"/>
        <v>78.48</v>
      </c>
    </row>
    <row r="174" spans="1:13" x14ac:dyDescent="0.35">
      <c r="A174" s="1" t="s">
        <v>195</v>
      </c>
      <c r="B174" s="6">
        <v>45077</v>
      </c>
      <c r="C174" s="2">
        <v>5</v>
      </c>
      <c r="D174" s="2">
        <v>31</v>
      </c>
      <c r="E174" s="1">
        <v>2023</v>
      </c>
      <c r="F174" s="1" t="s">
        <v>301</v>
      </c>
      <c r="G174" s="1" t="s">
        <v>293</v>
      </c>
      <c r="H174" s="1" t="s">
        <v>42</v>
      </c>
      <c r="I174" s="1" t="s">
        <v>15</v>
      </c>
      <c r="J174" s="1" t="s">
        <v>36</v>
      </c>
      <c r="K174" s="1">
        <v>44</v>
      </c>
      <c r="L174" s="1">
        <v>2.84</v>
      </c>
      <c r="M174" s="1">
        <f t="shared" si="2"/>
        <v>124.96</v>
      </c>
    </row>
    <row r="175" spans="1:13" x14ac:dyDescent="0.35">
      <c r="A175" s="1" t="s">
        <v>196</v>
      </c>
      <c r="B175" s="6">
        <v>45080</v>
      </c>
      <c r="C175" s="2">
        <v>6</v>
      </c>
      <c r="D175" s="2">
        <v>3</v>
      </c>
      <c r="E175" s="1">
        <v>2023</v>
      </c>
      <c r="F175" s="1" t="s">
        <v>302</v>
      </c>
      <c r="G175" s="1" t="s">
        <v>292</v>
      </c>
      <c r="H175" s="1" t="s">
        <v>7</v>
      </c>
      <c r="I175" s="1" t="s">
        <v>8</v>
      </c>
      <c r="J175" s="1" t="s">
        <v>38</v>
      </c>
      <c r="K175" s="1">
        <v>27</v>
      </c>
      <c r="L175" s="1">
        <v>1.87</v>
      </c>
      <c r="M175" s="1">
        <f t="shared" si="2"/>
        <v>50.49</v>
      </c>
    </row>
    <row r="176" spans="1:13" x14ac:dyDescent="0.35">
      <c r="A176" s="1" t="s">
        <v>197</v>
      </c>
      <c r="B176" s="6">
        <v>45083</v>
      </c>
      <c r="C176" s="2">
        <v>6</v>
      </c>
      <c r="D176" s="2">
        <v>6</v>
      </c>
      <c r="E176" s="1">
        <v>2023</v>
      </c>
      <c r="F176" s="1" t="s">
        <v>302</v>
      </c>
      <c r="G176" s="1" t="s">
        <v>292</v>
      </c>
      <c r="H176" s="1" t="s">
        <v>7</v>
      </c>
      <c r="I176" s="1" t="s">
        <v>15</v>
      </c>
      <c r="J176" s="1" t="s">
        <v>36</v>
      </c>
      <c r="K176" s="1">
        <v>120</v>
      </c>
      <c r="L176" s="1">
        <v>2.84</v>
      </c>
      <c r="M176" s="1">
        <f t="shared" si="2"/>
        <v>340.79999999999995</v>
      </c>
    </row>
    <row r="177" spans="1:13" x14ac:dyDescent="0.35">
      <c r="A177" s="1" t="s">
        <v>198</v>
      </c>
      <c r="B177" s="6">
        <v>45086</v>
      </c>
      <c r="C177" s="2">
        <v>6</v>
      </c>
      <c r="D177" s="2">
        <v>9</v>
      </c>
      <c r="E177" s="1">
        <v>2023</v>
      </c>
      <c r="F177" s="1" t="s">
        <v>302</v>
      </c>
      <c r="G177" s="1" t="s">
        <v>292</v>
      </c>
      <c r="H177" s="1" t="s">
        <v>7</v>
      </c>
      <c r="I177" s="1" t="s">
        <v>11</v>
      </c>
      <c r="J177" s="1" t="s">
        <v>12</v>
      </c>
      <c r="K177" s="1">
        <v>26</v>
      </c>
      <c r="L177" s="1">
        <v>3.49</v>
      </c>
      <c r="M177" s="1">
        <f t="shared" si="2"/>
        <v>90.740000000000009</v>
      </c>
    </row>
    <row r="178" spans="1:13" x14ac:dyDescent="0.35">
      <c r="A178" s="1" t="s">
        <v>199</v>
      </c>
      <c r="B178" s="6">
        <v>45089</v>
      </c>
      <c r="C178" s="2">
        <v>6</v>
      </c>
      <c r="D178" s="2">
        <v>12</v>
      </c>
      <c r="E178" s="1">
        <v>2023</v>
      </c>
      <c r="F178" s="1" t="s">
        <v>302</v>
      </c>
      <c r="G178" s="1" t="s">
        <v>293</v>
      </c>
      <c r="H178" s="1" t="s">
        <v>14</v>
      </c>
      <c r="I178" s="1" t="s">
        <v>8</v>
      </c>
      <c r="J178" s="1" t="s">
        <v>9</v>
      </c>
      <c r="K178" s="1">
        <v>73</v>
      </c>
      <c r="L178" s="1">
        <v>1.77</v>
      </c>
      <c r="M178" s="1">
        <f t="shared" si="2"/>
        <v>129.21</v>
      </c>
    </row>
    <row r="179" spans="1:13" x14ac:dyDescent="0.35">
      <c r="A179" s="1" t="s">
        <v>200</v>
      </c>
      <c r="B179" s="6">
        <v>45092</v>
      </c>
      <c r="C179" s="2">
        <v>6</v>
      </c>
      <c r="D179" s="2">
        <v>15</v>
      </c>
      <c r="E179" s="1">
        <v>2023</v>
      </c>
      <c r="F179" s="1" t="s">
        <v>302</v>
      </c>
      <c r="G179" s="1" t="s">
        <v>292</v>
      </c>
      <c r="H179" s="1" t="s">
        <v>18</v>
      </c>
      <c r="I179" s="1" t="s">
        <v>8</v>
      </c>
      <c r="J179" s="1" t="s">
        <v>38</v>
      </c>
      <c r="K179" s="1">
        <v>38</v>
      </c>
      <c r="L179" s="1">
        <v>1.87</v>
      </c>
      <c r="M179" s="1">
        <f t="shared" si="2"/>
        <v>71.06</v>
      </c>
    </row>
    <row r="180" spans="1:13" x14ac:dyDescent="0.35">
      <c r="A180" s="1" t="s">
        <v>201</v>
      </c>
      <c r="B180" s="6">
        <v>45095</v>
      </c>
      <c r="C180" s="2">
        <v>6</v>
      </c>
      <c r="D180" s="2">
        <v>18</v>
      </c>
      <c r="E180" s="1">
        <v>2023</v>
      </c>
      <c r="F180" s="1" t="s">
        <v>302</v>
      </c>
      <c r="G180" s="1" t="s">
        <v>292</v>
      </c>
      <c r="H180" s="1" t="s">
        <v>18</v>
      </c>
      <c r="I180" s="1" t="s">
        <v>15</v>
      </c>
      <c r="J180" s="1" t="s">
        <v>36</v>
      </c>
      <c r="K180" s="1">
        <v>40</v>
      </c>
      <c r="L180" s="1">
        <v>2.84</v>
      </c>
      <c r="M180" s="1">
        <f t="shared" si="2"/>
        <v>113.6</v>
      </c>
    </row>
    <row r="181" spans="1:13" x14ac:dyDescent="0.35">
      <c r="A181" s="1" t="s">
        <v>202</v>
      </c>
      <c r="B181" s="6">
        <v>45098</v>
      </c>
      <c r="C181" s="2">
        <v>6</v>
      </c>
      <c r="D181" s="2">
        <v>21</v>
      </c>
      <c r="E181" s="1">
        <v>2023</v>
      </c>
      <c r="F181" s="1" t="s">
        <v>302</v>
      </c>
      <c r="G181" s="1" t="s">
        <v>293</v>
      </c>
      <c r="H181" s="1" t="s">
        <v>42</v>
      </c>
      <c r="I181" s="1" t="s">
        <v>8</v>
      </c>
      <c r="J181" s="1" t="s">
        <v>9</v>
      </c>
      <c r="K181" s="1">
        <v>41</v>
      </c>
      <c r="L181" s="1">
        <v>1.77</v>
      </c>
      <c r="M181" s="1">
        <f t="shared" si="2"/>
        <v>72.570000000000007</v>
      </c>
    </row>
    <row r="182" spans="1:13" x14ac:dyDescent="0.35">
      <c r="A182" s="1" t="s">
        <v>203</v>
      </c>
      <c r="B182" s="6">
        <v>45101</v>
      </c>
      <c r="C182" s="2">
        <v>6</v>
      </c>
      <c r="D182" s="2">
        <v>24</v>
      </c>
      <c r="E182" s="1">
        <v>2023</v>
      </c>
      <c r="F182" s="1" t="s">
        <v>302</v>
      </c>
      <c r="G182" s="1" t="s">
        <v>292</v>
      </c>
      <c r="H182" s="1" t="s">
        <v>7</v>
      </c>
      <c r="I182" s="1" t="s">
        <v>8</v>
      </c>
      <c r="J182" s="1" t="s">
        <v>137</v>
      </c>
      <c r="K182" s="1">
        <v>27</v>
      </c>
      <c r="L182" s="1">
        <v>2.27</v>
      </c>
      <c r="M182" s="1">
        <f t="shared" si="2"/>
        <v>61.29</v>
      </c>
    </row>
    <row r="183" spans="1:13" x14ac:dyDescent="0.35">
      <c r="A183" s="1" t="s">
        <v>204</v>
      </c>
      <c r="B183" s="6">
        <v>45104</v>
      </c>
      <c r="C183" s="2">
        <v>6</v>
      </c>
      <c r="D183" s="2">
        <v>27</v>
      </c>
      <c r="E183" s="1">
        <v>2023</v>
      </c>
      <c r="F183" s="1" t="s">
        <v>302</v>
      </c>
      <c r="G183" s="1" t="s">
        <v>292</v>
      </c>
      <c r="H183" s="1" t="s">
        <v>7</v>
      </c>
      <c r="I183" s="1" t="s">
        <v>15</v>
      </c>
      <c r="J183" s="1" t="s">
        <v>16</v>
      </c>
      <c r="K183" s="1">
        <v>38</v>
      </c>
      <c r="L183" s="1">
        <v>1.87</v>
      </c>
      <c r="M183" s="1">
        <f t="shared" si="2"/>
        <v>71.06</v>
      </c>
    </row>
    <row r="184" spans="1:13" x14ac:dyDescent="0.35">
      <c r="A184" s="1" t="s">
        <v>205</v>
      </c>
      <c r="B184" s="6">
        <v>45107</v>
      </c>
      <c r="C184" s="2">
        <v>6</v>
      </c>
      <c r="D184" s="2">
        <v>30</v>
      </c>
      <c r="E184" s="1">
        <v>2023</v>
      </c>
      <c r="F184" s="1" t="s">
        <v>302</v>
      </c>
      <c r="G184" s="1" t="s">
        <v>292</v>
      </c>
      <c r="H184" s="1" t="s">
        <v>7</v>
      </c>
      <c r="I184" s="1" t="s">
        <v>11</v>
      </c>
      <c r="J184" s="1" t="s">
        <v>12</v>
      </c>
      <c r="K184" s="1">
        <v>34</v>
      </c>
      <c r="L184" s="1">
        <v>3.49</v>
      </c>
      <c r="M184" s="1">
        <f t="shared" si="2"/>
        <v>118.66000000000001</v>
      </c>
    </row>
    <row r="185" spans="1:13" x14ac:dyDescent="0.35">
      <c r="A185" s="1" t="s">
        <v>206</v>
      </c>
      <c r="B185" s="6">
        <v>45110</v>
      </c>
      <c r="C185" s="2">
        <v>7</v>
      </c>
      <c r="D185" s="2">
        <v>3</v>
      </c>
      <c r="E185" s="1">
        <v>2023</v>
      </c>
      <c r="F185" s="1" t="s">
        <v>303</v>
      </c>
      <c r="G185" s="1" t="s">
        <v>293</v>
      </c>
      <c r="H185" s="1" t="s">
        <v>14</v>
      </c>
      <c r="I185" s="1" t="s">
        <v>8</v>
      </c>
      <c r="J185" s="1" t="s">
        <v>38</v>
      </c>
      <c r="K185" s="1">
        <v>65</v>
      </c>
      <c r="L185" s="1">
        <v>1.87</v>
      </c>
      <c r="M185" s="1">
        <f t="shared" si="2"/>
        <v>121.55000000000001</v>
      </c>
    </row>
    <row r="186" spans="1:13" x14ac:dyDescent="0.35">
      <c r="A186" s="1" t="s">
        <v>207</v>
      </c>
      <c r="B186" s="6">
        <v>45113</v>
      </c>
      <c r="C186" s="2">
        <v>7</v>
      </c>
      <c r="D186" s="2">
        <v>6</v>
      </c>
      <c r="E186" s="1">
        <v>2023</v>
      </c>
      <c r="F186" s="1" t="s">
        <v>303</v>
      </c>
      <c r="G186" s="1" t="s">
        <v>293</v>
      </c>
      <c r="H186" s="1" t="s">
        <v>14</v>
      </c>
      <c r="I186" s="1" t="s">
        <v>15</v>
      </c>
      <c r="J186" s="1" t="s">
        <v>36</v>
      </c>
      <c r="K186" s="1">
        <v>60</v>
      </c>
      <c r="L186" s="1">
        <v>2.84</v>
      </c>
      <c r="M186" s="1">
        <f t="shared" si="2"/>
        <v>170.39999999999998</v>
      </c>
    </row>
    <row r="187" spans="1:13" x14ac:dyDescent="0.35">
      <c r="A187" s="1" t="s">
        <v>208</v>
      </c>
      <c r="B187" s="6">
        <v>45116</v>
      </c>
      <c r="C187" s="2">
        <v>7</v>
      </c>
      <c r="D187" s="2">
        <v>9</v>
      </c>
      <c r="E187" s="1">
        <v>2023</v>
      </c>
      <c r="F187" s="1" t="s">
        <v>303</v>
      </c>
      <c r="G187" s="1" t="s">
        <v>292</v>
      </c>
      <c r="H187" s="1" t="s">
        <v>18</v>
      </c>
      <c r="I187" s="1" t="s">
        <v>15</v>
      </c>
      <c r="J187" s="1" t="s">
        <v>20</v>
      </c>
      <c r="K187" s="1">
        <v>37</v>
      </c>
      <c r="L187" s="1">
        <v>2.1800000000000002</v>
      </c>
      <c r="M187" s="1">
        <f t="shared" si="2"/>
        <v>80.660000000000011</v>
      </c>
    </row>
    <row r="188" spans="1:13" x14ac:dyDescent="0.35">
      <c r="A188" s="1" t="s">
        <v>209</v>
      </c>
      <c r="B188" s="6">
        <v>45119</v>
      </c>
      <c r="C188" s="2">
        <v>7</v>
      </c>
      <c r="D188" s="2">
        <v>12</v>
      </c>
      <c r="E188" s="1">
        <v>2023</v>
      </c>
      <c r="F188" s="1" t="s">
        <v>303</v>
      </c>
      <c r="G188" s="1" t="s">
        <v>292</v>
      </c>
      <c r="H188" s="1" t="s">
        <v>18</v>
      </c>
      <c r="I188" s="1" t="s">
        <v>15</v>
      </c>
      <c r="J188" s="1" t="s">
        <v>16</v>
      </c>
      <c r="K188" s="1">
        <v>40</v>
      </c>
      <c r="L188" s="1">
        <v>1.87</v>
      </c>
      <c r="M188" s="1">
        <f t="shared" si="2"/>
        <v>74.800000000000011</v>
      </c>
    </row>
    <row r="189" spans="1:13" x14ac:dyDescent="0.35">
      <c r="A189" s="1" t="s">
        <v>210</v>
      </c>
      <c r="B189" s="6">
        <v>45122</v>
      </c>
      <c r="C189" s="2">
        <v>7</v>
      </c>
      <c r="D189" s="2">
        <v>15</v>
      </c>
      <c r="E189" s="1">
        <v>2023</v>
      </c>
      <c r="F189" s="1" t="s">
        <v>303</v>
      </c>
      <c r="G189" s="1" t="s">
        <v>293</v>
      </c>
      <c r="H189" s="1" t="s">
        <v>42</v>
      </c>
      <c r="I189" s="1" t="s">
        <v>8</v>
      </c>
      <c r="J189" s="1" t="s">
        <v>38</v>
      </c>
      <c r="K189" s="1">
        <v>26</v>
      </c>
      <c r="L189" s="1">
        <v>1.87</v>
      </c>
      <c r="M189" s="1">
        <f t="shared" si="2"/>
        <v>48.620000000000005</v>
      </c>
    </row>
    <row r="190" spans="1:13" x14ac:dyDescent="0.35">
      <c r="A190" s="1" t="s">
        <v>211</v>
      </c>
      <c r="B190" s="6">
        <v>45125</v>
      </c>
      <c r="C190" s="2">
        <v>7</v>
      </c>
      <c r="D190" s="2">
        <v>18</v>
      </c>
      <c r="E190" s="1">
        <v>2023</v>
      </c>
      <c r="F190" s="1" t="s">
        <v>303</v>
      </c>
      <c r="G190" s="1" t="s">
        <v>292</v>
      </c>
      <c r="H190" s="1" t="s">
        <v>7</v>
      </c>
      <c r="I190" s="1" t="s">
        <v>8</v>
      </c>
      <c r="J190" s="1" t="s">
        <v>137</v>
      </c>
      <c r="K190" s="1">
        <v>22</v>
      </c>
      <c r="L190" s="1">
        <v>2.27</v>
      </c>
      <c r="M190" s="1">
        <f t="shared" si="2"/>
        <v>49.94</v>
      </c>
    </row>
    <row r="191" spans="1:13" x14ac:dyDescent="0.35">
      <c r="A191" s="1" t="s">
        <v>212</v>
      </c>
      <c r="B191" s="6">
        <v>45128</v>
      </c>
      <c r="C191" s="2">
        <v>7</v>
      </c>
      <c r="D191" s="2">
        <v>21</v>
      </c>
      <c r="E191" s="1">
        <v>2023</v>
      </c>
      <c r="F191" s="1" t="s">
        <v>303</v>
      </c>
      <c r="G191" s="1" t="s">
        <v>292</v>
      </c>
      <c r="H191" s="1" t="s">
        <v>7</v>
      </c>
      <c r="I191" s="1" t="s">
        <v>15</v>
      </c>
      <c r="J191" s="1" t="s">
        <v>16</v>
      </c>
      <c r="K191" s="1">
        <v>32</v>
      </c>
      <c r="L191" s="1">
        <v>1.87</v>
      </c>
      <c r="M191" s="1">
        <f t="shared" si="2"/>
        <v>59.84</v>
      </c>
    </row>
    <row r="192" spans="1:13" x14ac:dyDescent="0.35">
      <c r="A192" s="1" t="s">
        <v>213</v>
      </c>
      <c r="B192" s="6">
        <v>45131</v>
      </c>
      <c r="C192" s="2">
        <v>7</v>
      </c>
      <c r="D192" s="2">
        <v>24</v>
      </c>
      <c r="E192" s="1">
        <v>2023</v>
      </c>
      <c r="F192" s="1" t="s">
        <v>303</v>
      </c>
      <c r="G192" s="1" t="s">
        <v>292</v>
      </c>
      <c r="H192" s="1" t="s">
        <v>7</v>
      </c>
      <c r="I192" s="1" t="s">
        <v>11</v>
      </c>
      <c r="J192" s="1" t="s">
        <v>12</v>
      </c>
      <c r="K192" s="1">
        <v>23</v>
      </c>
      <c r="L192" s="1">
        <v>3.49</v>
      </c>
      <c r="M192" s="1">
        <f t="shared" si="2"/>
        <v>80.27000000000001</v>
      </c>
    </row>
    <row r="193" spans="1:13" x14ac:dyDescent="0.35">
      <c r="A193" s="1" t="s">
        <v>214</v>
      </c>
      <c r="B193" s="6">
        <v>45134</v>
      </c>
      <c r="C193" s="2">
        <v>7</v>
      </c>
      <c r="D193" s="2">
        <v>27</v>
      </c>
      <c r="E193" s="1">
        <v>2023</v>
      </c>
      <c r="F193" s="1" t="s">
        <v>303</v>
      </c>
      <c r="G193" s="1" t="s">
        <v>293</v>
      </c>
      <c r="H193" s="1" t="s">
        <v>14</v>
      </c>
      <c r="I193" s="1" t="s">
        <v>15</v>
      </c>
      <c r="J193" s="1" t="s">
        <v>20</v>
      </c>
      <c r="K193" s="1">
        <v>20</v>
      </c>
      <c r="L193" s="1">
        <v>2.1800000000000002</v>
      </c>
      <c r="M193" s="1">
        <f t="shared" si="2"/>
        <v>43.6</v>
      </c>
    </row>
    <row r="194" spans="1:13" x14ac:dyDescent="0.35">
      <c r="A194" s="1" t="s">
        <v>215</v>
      </c>
      <c r="B194" s="6">
        <v>45137</v>
      </c>
      <c r="C194" s="2">
        <v>7</v>
      </c>
      <c r="D194" s="2">
        <v>30</v>
      </c>
      <c r="E194" s="1">
        <v>2023</v>
      </c>
      <c r="F194" s="1" t="s">
        <v>303</v>
      </c>
      <c r="G194" s="1" t="s">
        <v>293</v>
      </c>
      <c r="H194" s="1" t="s">
        <v>14</v>
      </c>
      <c r="I194" s="1" t="s">
        <v>15</v>
      </c>
      <c r="J194" s="1" t="s">
        <v>16</v>
      </c>
      <c r="K194" s="1">
        <v>64</v>
      </c>
      <c r="L194" s="1">
        <v>1.87</v>
      </c>
      <c r="M194" s="1">
        <f t="shared" si="2"/>
        <v>119.68</v>
      </c>
    </row>
    <row r="195" spans="1:13" x14ac:dyDescent="0.35">
      <c r="A195" s="1" t="s">
        <v>216</v>
      </c>
      <c r="B195" s="6">
        <v>45140</v>
      </c>
      <c r="C195" s="2">
        <v>8</v>
      </c>
      <c r="D195" s="2">
        <v>2</v>
      </c>
      <c r="E195" s="1">
        <v>2023</v>
      </c>
      <c r="F195" s="1" t="s">
        <v>304</v>
      </c>
      <c r="G195" s="1" t="s">
        <v>292</v>
      </c>
      <c r="H195" s="1" t="s">
        <v>18</v>
      </c>
      <c r="I195" s="1" t="s">
        <v>8</v>
      </c>
      <c r="J195" s="1" t="s">
        <v>9</v>
      </c>
      <c r="K195" s="1">
        <v>71</v>
      </c>
      <c r="L195" s="1">
        <v>1.77</v>
      </c>
      <c r="M195" s="1">
        <f t="shared" ref="M195:M245" si="3">K195*L195</f>
        <v>125.67</v>
      </c>
    </row>
    <row r="196" spans="1:13" x14ac:dyDescent="0.35">
      <c r="A196" s="1" t="s">
        <v>217</v>
      </c>
      <c r="B196" s="6">
        <v>45143</v>
      </c>
      <c r="C196" s="2">
        <v>8</v>
      </c>
      <c r="D196" s="2">
        <v>5</v>
      </c>
      <c r="E196" s="1">
        <v>2023</v>
      </c>
      <c r="F196" s="1" t="s">
        <v>304</v>
      </c>
      <c r="G196" s="1" t="s">
        <v>293</v>
      </c>
      <c r="H196" s="1" t="s">
        <v>42</v>
      </c>
      <c r="I196" s="1" t="s">
        <v>15</v>
      </c>
      <c r="J196" s="1" t="s">
        <v>20</v>
      </c>
      <c r="K196" s="1">
        <v>90</v>
      </c>
      <c r="L196" s="1">
        <v>2.1800000000000002</v>
      </c>
      <c r="M196" s="1">
        <f t="shared" si="3"/>
        <v>196.20000000000002</v>
      </c>
    </row>
    <row r="197" spans="1:13" x14ac:dyDescent="0.35">
      <c r="A197" s="1" t="s">
        <v>218</v>
      </c>
      <c r="B197" s="6">
        <v>45146</v>
      </c>
      <c r="C197" s="2">
        <v>8</v>
      </c>
      <c r="D197" s="2">
        <v>8</v>
      </c>
      <c r="E197" s="1">
        <v>2023</v>
      </c>
      <c r="F197" s="1" t="s">
        <v>304</v>
      </c>
      <c r="G197" s="1" t="s">
        <v>293</v>
      </c>
      <c r="H197" s="1" t="s">
        <v>42</v>
      </c>
      <c r="I197" s="1" t="s">
        <v>15</v>
      </c>
      <c r="J197" s="1" t="s">
        <v>36</v>
      </c>
      <c r="K197" s="1">
        <v>38</v>
      </c>
      <c r="L197" s="1">
        <v>2.84</v>
      </c>
      <c r="M197" s="1">
        <f t="shared" si="3"/>
        <v>107.91999999999999</v>
      </c>
    </row>
    <row r="198" spans="1:13" x14ac:dyDescent="0.35">
      <c r="A198" s="1" t="s">
        <v>219</v>
      </c>
      <c r="B198" s="6">
        <v>45149</v>
      </c>
      <c r="C198" s="2">
        <v>8</v>
      </c>
      <c r="D198" s="2">
        <v>11</v>
      </c>
      <c r="E198" s="1">
        <v>2023</v>
      </c>
      <c r="F198" s="1" t="s">
        <v>304</v>
      </c>
      <c r="G198" s="1" t="s">
        <v>292</v>
      </c>
      <c r="H198" s="1" t="s">
        <v>7</v>
      </c>
      <c r="I198" s="1" t="s">
        <v>8</v>
      </c>
      <c r="J198" s="1" t="s">
        <v>9</v>
      </c>
      <c r="K198" s="1">
        <v>55</v>
      </c>
      <c r="L198" s="1">
        <v>1.77</v>
      </c>
      <c r="M198" s="1">
        <f t="shared" si="3"/>
        <v>97.35</v>
      </c>
    </row>
    <row r="199" spans="1:13" x14ac:dyDescent="0.35">
      <c r="A199" s="1" t="s">
        <v>220</v>
      </c>
      <c r="B199" s="6">
        <v>45152</v>
      </c>
      <c r="C199" s="2">
        <v>8</v>
      </c>
      <c r="D199" s="2">
        <v>14</v>
      </c>
      <c r="E199" s="1">
        <v>2023</v>
      </c>
      <c r="F199" s="1" t="s">
        <v>304</v>
      </c>
      <c r="G199" s="1" t="s">
        <v>292</v>
      </c>
      <c r="H199" s="1" t="s">
        <v>7</v>
      </c>
      <c r="I199" s="1" t="s">
        <v>26</v>
      </c>
      <c r="J199" s="1" t="s">
        <v>107</v>
      </c>
      <c r="K199" s="1">
        <v>22</v>
      </c>
      <c r="L199" s="1">
        <v>3.15</v>
      </c>
      <c r="M199" s="1">
        <f t="shared" si="3"/>
        <v>69.3</v>
      </c>
    </row>
    <row r="200" spans="1:13" x14ac:dyDescent="0.35">
      <c r="A200" s="1" t="s">
        <v>221</v>
      </c>
      <c r="B200" s="6">
        <v>45155</v>
      </c>
      <c r="C200" s="2">
        <v>8</v>
      </c>
      <c r="D200" s="2">
        <v>17</v>
      </c>
      <c r="E200" s="1">
        <v>2023</v>
      </c>
      <c r="F200" s="1" t="s">
        <v>304</v>
      </c>
      <c r="G200" s="1" t="s">
        <v>293</v>
      </c>
      <c r="H200" s="1" t="s">
        <v>14</v>
      </c>
      <c r="I200" s="1" t="s">
        <v>8</v>
      </c>
      <c r="J200" s="1" t="s">
        <v>9</v>
      </c>
      <c r="K200" s="1">
        <v>34</v>
      </c>
      <c r="L200" s="1">
        <v>1.77</v>
      </c>
      <c r="M200" s="1">
        <f t="shared" si="3"/>
        <v>60.18</v>
      </c>
    </row>
    <row r="201" spans="1:13" x14ac:dyDescent="0.35">
      <c r="A201" s="1" t="s">
        <v>222</v>
      </c>
      <c r="B201" s="6">
        <v>45158</v>
      </c>
      <c r="C201" s="2">
        <v>8</v>
      </c>
      <c r="D201" s="2">
        <v>20</v>
      </c>
      <c r="E201" s="1">
        <v>2023</v>
      </c>
      <c r="F201" s="1" t="s">
        <v>304</v>
      </c>
      <c r="G201" s="1" t="s">
        <v>292</v>
      </c>
      <c r="H201" s="1" t="s">
        <v>18</v>
      </c>
      <c r="I201" s="1" t="s">
        <v>8</v>
      </c>
      <c r="J201" s="1" t="s">
        <v>38</v>
      </c>
      <c r="K201" s="1">
        <v>39</v>
      </c>
      <c r="L201" s="1">
        <v>1.87</v>
      </c>
      <c r="M201" s="1">
        <f t="shared" si="3"/>
        <v>72.930000000000007</v>
      </c>
    </row>
    <row r="202" spans="1:13" x14ac:dyDescent="0.35">
      <c r="A202" s="1" t="s">
        <v>223</v>
      </c>
      <c r="B202" s="6">
        <v>45161</v>
      </c>
      <c r="C202" s="2">
        <v>8</v>
      </c>
      <c r="D202" s="2">
        <v>23</v>
      </c>
      <c r="E202" s="1">
        <v>2023</v>
      </c>
      <c r="F202" s="1" t="s">
        <v>304</v>
      </c>
      <c r="G202" s="1" t="s">
        <v>292</v>
      </c>
      <c r="H202" s="1" t="s">
        <v>18</v>
      </c>
      <c r="I202" s="1" t="s">
        <v>15</v>
      </c>
      <c r="J202" s="1" t="s">
        <v>36</v>
      </c>
      <c r="K202" s="1">
        <v>41</v>
      </c>
      <c r="L202" s="1">
        <v>2.84</v>
      </c>
      <c r="M202" s="1">
        <f t="shared" si="3"/>
        <v>116.44</v>
      </c>
    </row>
    <row r="203" spans="1:13" x14ac:dyDescent="0.35">
      <c r="A203" s="1" t="s">
        <v>224</v>
      </c>
      <c r="B203" s="6">
        <v>45164</v>
      </c>
      <c r="C203" s="2">
        <v>8</v>
      </c>
      <c r="D203" s="2">
        <v>26</v>
      </c>
      <c r="E203" s="1">
        <v>2023</v>
      </c>
      <c r="F203" s="1" t="s">
        <v>304</v>
      </c>
      <c r="G203" s="1" t="s">
        <v>293</v>
      </c>
      <c r="H203" s="1" t="s">
        <v>42</v>
      </c>
      <c r="I203" s="1" t="s">
        <v>8</v>
      </c>
      <c r="J203" s="1" t="s">
        <v>9</v>
      </c>
      <c r="K203" s="1">
        <v>41</v>
      </c>
      <c r="L203" s="1">
        <v>1.77</v>
      </c>
      <c r="M203" s="1">
        <f t="shared" si="3"/>
        <v>72.570000000000007</v>
      </c>
    </row>
    <row r="204" spans="1:13" x14ac:dyDescent="0.35">
      <c r="A204" s="1" t="s">
        <v>225</v>
      </c>
      <c r="B204" s="6">
        <v>45167</v>
      </c>
      <c r="C204" s="2">
        <v>8</v>
      </c>
      <c r="D204" s="2">
        <v>29</v>
      </c>
      <c r="E204" s="1">
        <v>2023</v>
      </c>
      <c r="F204" s="1" t="s">
        <v>304</v>
      </c>
      <c r="G204" s="1" t="s">
        <v>292</v>
      </c>
      <c r="H204" s="1" t="s">
        <v>7</v>
      </c>
      <c r="I204" s="1" t="s">
        <v>15</v>
      </c>
      <c r="J204" s="1" t="s">
        <v>20</v>
      </c>
      <c r="K204" s="1">
        <v>136</v>
      </c>
      <c r="L204" s="1">
        <v>2.1800000000000002</v>
      </c>
      <c r="M204" s="1">
        <f t="shared" si="3"/>
        <v>296.48</v>
      </c>
    </row>
    <row r="205" spans="1:13" x14ac:dyDescent="0.35">
      <c r="A205" s="1" t="s">
        <v>226</v>
      </c>
      <c r="B205" s="6">
        <v>45170</v>
      </c>
      <c r="C205" s="2">
        <v>9</v>
      </c>
      <c r="D205" s="2">
        <v>1</v>
      </c>
      <c r="E205" s="1">
        <v>2023</v>
      </c>
      <c r="F205" s="1" t="s">
        <v>305</v>
      </c>
      <c r="G205" s="1" t="s">
        <v>292</v>
      </c>
      <c r="H205" s="1" t="s">
        <v>7</v>
      </c>
      <c r="I205" s="1" t="s">
        <v>8</v>
      </c>
      <c r="J205" s="1" t="s">
        <v>9</v>
      </c>
      <c r="K205" s="1">
        <v>25</v>
      </c>
      <c r="L205" s="1">
        <v>1.77</v>
      </c>
      <c r="M205" s="1">
        <f t="shared" si="3"/>
        <v>44.25</v>
      </c>
    </row>
    <row r="206" spans="1:13" x14ac:dyDescent="0.35">
      <c r="A206" s="1" t="s">
        <v>227</v>
      </c>
      <c r="B206" s="6">
        <v>45173</v>
      </c>
      <c r="C206" s="2">
        <v>9</v>
      </c>
      <c r="D206" s="2">
        <v>4</v>
      </c>
      <c r="E206" s="1">
        <v>2023</v>
      </c>
      <c r="F206" s="1" t="s">
        <v>305</v>
      </c>
      <c r="G206" s="1" t="s">
        <v>292</v>
      </c>
      <c r="H206" s="1" t="s">
        <v>7</v>
      </c>
      <c r="I206" s="1" t="s">
        <v>26</v>
      </c>
      <c r="J206" s="1" t="s">
        <v>107</v>
      </c>
      <c r="K206" s="1">
        <v>26</v>
      </c>
      <c r="L206" s="1">
        <v>3.15</v>
      </c>
      <c r="M206" s="1">
        <f t="shared" si="3"/>
        <v>81.899999999999991</v>
      </c>
    </row>
    <row r="207" spans="1:13" x14ac:dyDescent="0.35">
      <c r="A207" s="1" t="s">
        <v>228</v>
      </c>
      <c r="B207" s="6">
        <v>45176</v>
      </c>
      <c r="C207" s="2">
        <v>9</v>
      </c>
      <c r="D207" s="2">
        <v>7</v>
      </c>
      <c r="E207" s="1">
        <v>2023</v>
      </c>
      <c r="F207" s="1" t="s">
        <v>305</v>
      </c>
      <c r="G207" s="1" t="s">
        <v>293</v>
      </c>
      <c r="H207" s="1" t="s">
        <v>14</v>
      </c>
      <c r="I207" s="1" t="s">
        <v>8</v>
      </c>
      <c r="J207" s="1" t="s">
        <v>38</v>
      </c>
      <c r="K207" s="1">
        <v>50</v>
      </c>
      <c r="L207" s="1">
        <v>1.87</v>
      </c>
      <c r="M207" s="1">
        <f t="shared" si="3"/>
        <v>93.5</v>
      </c>
    </row>
    <row r="208" spans="1:13" x14ac:dyDescent="0.35">
      <c r="A208" s="1" t="s">
        <v>229</v>
      </c>
      <c r="B208" s="6">
        <v>45179</v>
      </c>
      <c r="C208" s="2">
        <v>9</v>
      </c>
      <c r="D208" s="2">
        <v>10</v>
      </c>
      <c r="E208" s="1">
        <v>2023</v>
      </c>
      <c r="F208" s="1" t="s">
        <v>305</v>
      </c>
      <c r="G208" s="1" t="s">
        <v>293</v>
      </c>
      <c r="H208" s="1" t="s">
        <v>14</v>
      </c>
      <c r="I208" s="1" t="s">
        <v>15</v>
      </c>
      <c r="J208" s="1" t="s">
        <v>36</v>
      </c>
      <c r="K208" s="1">
        <v>79</v>
      </c>
      <c r="L208" s="1">
        <v>2.84</v>
      </c>
      <c r="M208" s="1">
        <f t="shared" si="3"/>
        <v>224.35999999999999</v>
      </c>
    </row>
    <row r="209" spans="1:13" x14ac:dyDescent="0.35">
      <c r="A209" s="1" t="s">
        <v>230</v>
      </c>
      <c r="B209" s="6">
        <v>45182</v>
      </c>
      <c r="C209" s="2">
        <v>9</v>
      </c>
      <c r="D209" s="2">
        <v>13</v>
      </c>
      <c r="E209" s="1">
        <v>2023</v>
      </c>
      <c r="F209" s="1" t="s">
        <v>305</v>
      </c>
      <c r="G209" s="1" t="s">
        <v>292</v>
      </c>
      <c r="H209" s="1" t="s">
        <v>18</v>
      </c>
      <c r="I209" s="1" t="s">
        <v>8</v>
      </c>
      <c r="J209" s="1" t="s">
        <v>9</v>
      </c>
      <c r="K209" s="1">
        <v>30</v>
      </c>
      <c r="L209" s="1">
        <v>1.77</v>
      </c>
      <c r="M209" s="1">
        <f t="shared" si="3"/>
        <v>53.1</v>
      </c>
    </row>
    <row r="210" spans="1:13" x14ac:dyDescent="0.35">
      <c r="A210" s="1" t="s">
        <v>231</v>
      </c>
      <c r="B210" s="6">
        <v>45185</v>
      </c>
      <c r="C210" s="2">
        <v>9</v>
      </c>
      <c r="D210" s="2">
        <v>16</v>
      </c>
      <c r="E210" s="1">
        <v>2023</v>
      </c>
      <c r="F210" s="1" t="s">
        <v>305</v>
      </c>
      <c r="G210" s="1" t="s">
        <v>292</v>
      </c>
      <c r="H210" s="1" t="s">
        <v>18</v>
      </c>
      <c r="I210" s="1" t="s">
        <v>26</v>
      </c>
      <c r="J210" s="1" t="s">
        <v>27</v>
      </c>
      <c r="K210" s="1">
        <v>20</v>
      </c>
      <c r="L210" s="1">
        <v>1.68</v>
      </c>
      <c r="M210" s="1">
        <f t="shared" si="3"/>
        <v>33.6</v>
      </c>
    </row>
    <row r="211" spans="1:13" x14ac:dyDescent="0.35">
      <c r="A211" s="1" t="s">
        <v>232</v>
      </c>
      <c r="B211" s="6">
        <v>45188</v>
      </c>
      <c r="C211" s="2">
        <v>9</v>
      </c>
      <c r="D211" s="2">
        <v>19</v>
      </c>
      <c r="E211" s="1">
        <v>2023</v>
      </c>
      <c r="F211" s="1" t="s">
        <v>305</v>
      </c>
      <c r="G211" s="1" t="s">
        <v>293</v>
      </c>
      <c r="H211" s="1" t="s">
        <v>42</v>
      </c>
      <c r="I211" s="1" t="s">
        <v>8</v>
      </c>
      <c r="J211" s="1" t="s">
        <v>9</v>
      </c>
      <c r="K211" s="1">
        <v>49</v>
      </c>
      <c r="L211" s="1">
        <v>1.77</v>
      </c>
      <c r="M211" s="1">
        <f t="shared" si="3"/>
        <v>86.73</v>
      </c>
    </row>
    <row r="212" spans="1:13" x14ac:dyDescent="0.35">
      <c r="A212" s="1" t="s">
        <v>233</v>
      </c>
      <c r="B212" s="6">
        <v>45191</v>
      </c>
      <c r="C212" s="2">
        <v>9</v>
      </c>
      <c r="D212" s="2">
        <v>22</v>
      </c>
      <c r="E212" s="1">
        <v>2023</v>
      </c>
      <c r="F212" s="1" t="s">
        <v>305</v>
      </c>
      <c r="G212" s="1" t="s">
        <v>292</v>
      </c>
      <c r="H212" s="1" t="s">
        <v>7</v>
      </c>
      <c r="I212" s="1" t="s">
        <v>15</v>
      </c>
      <c r="J212" s="1" t="s">
        <v>20</v>
      </c>
      <c r="K212" s="1">
        <v>40</v>
      </c>
      <c r="L212" s="1">
        <v>2.1800000000000002</v>
      </c>
      <c r="M212" s="1">
        <f t="shared" si="3"/>
        <v>87.2</v>
      </c>
    </row>
    <row r="213" spans="1:13" x14ac:dyDescent="0.35">
      <c r="A213" s="1" t="s">
        <v>234</v>
      </c>
      <c r="B213" s="6">
        <v>45194</v>
      </c>
      <c r="C213" s="2">
        <v>9</v>
      </c>
      <c r="D213" s="2">
        <v>25</v>
      </c>
      <c r="E213" s="1">
        <v>2023</v>
      </c>
      <c r="F213" s="1" t="s">
        <v>305</v>
      </c>
      <c r="G213" s="1" t="s">
        <v>292</v>
      </c>
      <c r="H213" s="1" t="s">
        <v>7</v>
      </c>
      <c r="I213" s="1" t="s">
        <v>8</v>
      </c>
      <c r="J213" s="1" t="s">
        <v>9</v>
      </c>
      <c r="K213" s="1">
        <v>31</v>
      </c>
      <c r="L213" s="1">
        <v>1.77</v>
      </c>
      <c r="M213" s="1">
        <f t="shared" si="3"/>
        <v>54.87</v>
      </c>
    </row>
    <row r="214" spans="1:13" x14ac:dyDescent="0.35">
      <c r="A214" s="1" t="s">
        <v>235</v>
      </c>
      <c r="B214" s="6">
        <v>45197</v>
      </c>
      <c r="C214" s="2">
        <v>9</v>
      </c>
      <c r="D214" s="2">
        <v>28</v>
      </c>
      <c r="E214" s="1">
        <v>2023</v>
      </c>
      <c r="F214" s="1" t="s">
        <v>305</v>
      </c>
      <c r="G214" s="1" t="s">
        <v>292</v>
      </c>
      <c r="H214" s="1" t="s">
        <v>7</v>
      </c>
      <c r="I214" s="1" t="s">
        <v>26</v>
      </c>
      <c r="J214" s="1" t="s">
        <v>107</v>
      </c>
      <c r="K214" s="1">
        <v>21</v>
      </c>
      <c r="L214" s="1">
        <v>3.15</v>
      </c>
      <c r="M214" s="1">
        <f t="shared" si="3"/>
        <v>66.149999999999991</v>
      </c>
    </row>
    <row r="215" spans="1:13" x14ac:dyDescent="0.35">
      <c r="A215" s="1" t="s">
        <v>236</v>
      </c>
      <c r="B215" s="6">
        <v>45200</v>
      </c>
      <c r="C215" s="2">
        <v>10</v>
      </c>
      <c r="D215" s="2">
        <v>1</v>
      </c>
      <c r="E215" s="1">
        <v>2023</v>
      </c>
      <c r="F215" s="1" t="s">
        <v>306</v>
      </c>
      <c r="G215" s="1" t="s">
        <v>293</v>
      </c>
      <c r="H215" s="1" t="s">
        <v>14</v>
      </c>
      <c r="I215" s="1" t="s">
        <v>8</v>
      </c>
      <c r="J215" s="1" t="s">
        <v>38</v>
      </c>
      <c r="K215" s="1">
        <v>43</v>
      </c>
      <c r="L215" s="1">
        <v>1.87</v>
      </c>
      <c r="M215" s="1">
        <f t="shared" si="3"/>
        <v>80.410000000000011</v>
      </c>
    </row>
    <row r="216" spans="1:13" x14ac:dyDescent="0.35">
      <c r="A216" s="1" t="s">
        <v>237</v>
      </c>
      <c r="B216" s="6">
        <v>45203</v>
      </c>
      <c r="C216" s="2">
        <v>10</v>
      </c>
      <c r="D216" s="2">
        <v>4</v>
      </c>
      <c r="E216" s="1">
        <v>2023</v>
      </c>
      <c r="F216" s="1" t="s">
        <v>306</v>
      </c>
      <c r="G216" s="1" t="s">
        <v>293</v>
      </c>
      <c r="H216" s="1" t="s">
        <v>14</v>
      </c>
      <c r="I216" s="1" t="s">
        <v>15</v>
      </c>
      <c r="J216" s="1" t="s">
        <v>36</v>
      </c>
      <c r="K216" s="1">
        <v>47</v>
      </c>
      <c r="L216" s="1">
        <v>2.84</v>
      </c>
      <c r="M216" s="1">
        <f t="shared" si="3"/>
        <v>133.47999999999999</v>
      </c>
    </row>
    <row r="217" spans="1:13" x14ac:dyDescent="0.35">
      <c r="A217" s="1" t="s">
        <v>238</v>
      </c>
      <c r="B217" s="6">
        <v>45206</v>
      </c>
      <c r="C217" s="2">
        <v>10</v>
      </c>
      <c r="D217" s="2">
        <v>7</v>
      </c>
      <c r="E217" s="1">
        <v>2023</v>
      </c>
      <c r="F217" s="1" t="s">
        <v>306</v>
      </c>
      <c r="G217" s="1" t="s">
        <v>292</v>
      </c>
      <c r="H217" s="1" t="s">
        <v>18</v>
      </c>
      <c r="I217" s="1" t="s">
        <v>15</v>
      </c>
      <c r="J217" s="1" t="s">
        <v>20</v>
      </c>
      <c r="K217" s="1">
        <v>175</v>
      </c>
      <c r="L217" s="1">
        <v>2.1800000000000002</v>
      </c>
      <c r="M217" s="1">
        <f t="shared" si="3"/>
        <v>381.5</v>
      </c>
    </row>
    <row r="218" spans="1:13" x14ac:dyDescent="0.35">
      <c r="A218" s="1" t="s">
        <v>239</v>
      </c>
      <c r="B218" s="6">
        <v>45209</v>
      </c>
      <c r="C218" s="2">
        <v>10</v>
      </c>
      <c r="D218" s="2">
        <v>10</v>
      </c>
      <c r="E218" s="1">
        <v>2023</v>
      </c>
      <c r="F218" s="1" t="s">
        <v>306</v>
      </c>
      <c r="G218" s="1" t="s">
        <v>292</v>
      </c>
      <c r="H218" s="1" t="s">
        <v>18</v>
      </c>
      <c r="I218" s="1" t="s">
        <v>15</v>
      </c>
      <c r="J218" s="1" t="s">
        <v>16</v>
      </c>
      <c r="K218" s="1">
        <v>23</v>
      </c>
      <c r="L218" s="1">
        <v>1.87</v>
      </c>
      <c r="M218" s="1">
        <f t="shared" si="3"/>
        <v>43.010000000000005</v>
      </c>
    </row>
    <row r="219" spans="1:13" x14ac:dyDescent="0.35">
      <c r="A219" s="1" t="s">
        <v>240</v>
      </c>
      <c r="B219" s="6">
        <v>45212</v>
      </c>
      <c r="C219" s="2">
        <v>10</v>
      </c>
      <c r="D219" s="2">
        <v>13</v>
      </c>
      <c r="E219" s="1">
        <v>2023</v>
      </c>
      <c r="F219" s="1" t="s">
        <v>306</v>
      </c>
      <c r="G219" s="1" t="s">
        <v>293</v>
      </c>
      <c r="H219" s="1" t="s">
        <v>42</v>
      </c>
      <c r="I219" s="1" t="s">
        <v>8</v>
      </c>
      <c r="J219" s="1" t="s">
        <v>9</v>
      </c>
      <c r="K219" s="1">
        <v>40</v>
      </c>
      <c r="L219" s="1">
        <v>1.77</v>
      </c>
      <c r="M219" s="1">
        <f t="shared" si="3"/>
        <v>70.8</v>
      </c>
    </row>
    <row r="220" spans="1:13" x14ac:dyDescent="0.35">
      <c r="A220" s="1" t="s">
        <v>241</v>
      </c>
      <c r="B220" s="6">
        <v>45215</v>
      </c>
      <c r="C220" s="2">
        <v>10</v>
      </c>
      <c r="D220" s="2">
        <v>16</v>
      </c>
      <c r="E220" s="1">
        <v>2023</v>
      </c>
      <c r="F220" s="1" t="s">
        <v>306</v>
      </c>
      <c r="G220" s="1" t="s">
        <v>292</v>
      </c>
      <c r="H220" s="1" t="s">
        <v>7</v>
      </c>
      <c r="I220" s="1" t="s">
        <v>15</v>
      </c>
      <c r="J220" s="1" t="s">
        <v>20</v>
      </c>
      <c r="K220" s="1">
        <v>87</v>
      </c>
      <c r="L220" s="1">
        <v>2.1800000000000002</v>
      </c>
      <c r="M220" s="1">
        <f t="shared" si="3"/>
        <v>189.66000000000003</v>
      </c>
    </row>
    <row r="221" spans="1:13" x14ac:dyDescent="0.35">
      <c r="A221" s="1" t="s">
        <v>242</v>
      </c>
      <c r="B221" s="6">
        <v>45218</v>
      </c>
      <c r="C221" s="2">
        <v>10</v>
      </c>
      <c r="D221" s="2">
        <v>19</v>
      </c>
      <c r="E221" s="1">
        <v>2023</v>
      </c>
      <c r="F221" s="1" t="s">
        <v>306</v>
      </c>
      <c r="G221" s="1" t="s">
        <v>292</v>
      </c>
      <c r="H221" s="1" t="s">
        <v>7</v>
      </c>
      <c r="I221" s="1" t="s">
        <v>8</v>
      </c>
      <c r="J221" s="1" t="s">
        <v>9</v>
      </c>
      <c r="K221" s="1">
        <v>43</v>
      </c>
      <c r="L221" s="1">
        <v>1.77</v>
      </c>
      <c r="M221" s="1">
        <f t="shared" si="3"/>
        <v>76.11</v>
      </c>
    </row>
    <row r="222" spans="1:13" x14ac:dyDescent="0.35">
      <c r="A222" s="1" t="s">
        <v>243</v>
      </c>
      <c r="B222" s="6">
        <v>45221</v>
      </c>
      <c r="C222" s="2">
        <v>10</v>
      </c>
      <c r="D222" s="2">
        <v>22</v>
      </c>
      <c r="E222" s="1">
        <v>2023</v>
      </c>
      <c r="F222" s="1" t="s">
        <v>306</v>
      </c>
      <c r="G222" s="1" t="s">
        <v>292</v>
      </c>
      <c r="H222" s="1" t="s">
        <v>7</v>
      </c>
      <c r="I222" s="1" t="s">
        <v>11</v>
      </c>
      <c r="J222" s="1" t="s">
        <v>12</v>
      </c>
      <c r="K222" s="1">
        <v>30</v>
      </c>
      <c r="L222" s="1">
        <v>3.49</v>
      </c>
      <c r="M222" s="1">
        <f t="shared" si="3"/>
        <v>104.7</v>
      </c>
    </row>
    <row r="223" spans="1:13" x14ac:dyDescent="0.35">
      <c r="A223" s="1" t="s">
        <v>244</v>
      </c>
      <c r="B223" s="6">
        <v>45224</v>
      </c>
      <c r="C223" s="2">
        <v>10</v>
      </c>
      <c r="D223" s="2">
        <v>25</v>
      </c>
      <c r="E223" s="1">
        <v>2023</v>
      </c>
      <c r="F223" s="1" t="s">
        <v>306</v>
      </c>
      <c r="G223" s="1" t="s">
        <v>293</v>
      </c>
      <c r="H223" s="1" t="s">
        <v>14</v>
      </c>
      <c r="I223" s="1" t="s">
        <v>8</v>
      </c>
      <c r="J223" s="1" t="s">
        <v>9</v>
      </c>
      <c r="K223" s="1">
        <v>35</v>
      </c>
      <c r="L223" s="1">
        <v>1.77</v>
      </c>
      <c r="M223" s="1">
        <f t="shared" si="3"/>
        <v>61.95</v>
      </c>
    </row>
    <row r="224" spans="1:13" x14ac:dyDescent="0.35">
      <c r="A224" s="1" t="s">
        <v>245</v>
      </c>
      <c r="B224" s="6">
        <v>45227</v>
      </c>
      <c r="C224" s="2">
        <v>10</v>
      </c>
      <c r="D224" s="2">
        <v>28</v>
      </c>
      <c r="E224" s="1">
        <v>2023</v>
      </c>
      <c r="F224" s="1" t="s">
        <v>306</v>
      </c>
      <c r="G224" s="1" t="s">
        <v>292</v>
      </c>
      <c r="H224" s="1" t="s">
        <v>18</v>
      </c>
      <c r="I224" s="1" t="s">
        <v>8</v>
      </c>
      <c r="J224" s="1" t="s">
        <v>38</v>
      </c>
      <c r="K224" s="1">
        <v>57</v>
      </c>
      <c r="L224" s="1">
        <v>1.87</v>
      </c>
      <c r="M224" s="1">
        <f t="shared" si="3"/>
        <v>106.59</v>
      </c>
    </row>
    <row r="225" spans="1:13" x14ac:dyDescent="0.35">
      <c r="A225" s="1" t="s">
        <v>246</v>
      </c>
      <c r="B225" s="6">
        <v>45230</v>
      </c>
      <c r="C225" s="2">
        <v>10</v>
      </c>
      <c r="D225" s="2">
        <v>31</v>
      </c>
      <c r="E225" s="1">
        <v>2023</v>
      </c>
      <c r="F225" s="1" t="s">
        <v>306</v>
      </c>
      <c r="G225" s="1" t="s">
        <v>292</v>
      </c>
      <c r="H225" s="1" t="s">
        <v>18</v>
      </c>
      <c r="I225" s="1" t="s">
        <v>26</v>
      </c>
      <c r="J225" s="1" t="s">
        <v>27</v>
      </c>
      <c r="K225" s="1">
        <v>25</v>
      </c>
      <c r="L225" s="1">
        <v>1.68</v>
      </c>
      <c r="M225" s="1">
        <f t="shared" si="3"/>
        <v>42</v>
      </c>
    </row>
    <row r="226" spans="1:13" x14ac:dyDescent="0.35">
      <c r="A226" s="1" t="s">
        <v>247</v>
      </c>
      <c r="B226" s="6">
        <v>45233</v>
      </c>
      <c r="C226" s="2">
        <v>11</v>
      </c>
      <c r="D226" s="2">
        <v>3</v>
      </c>
      <c r="E226" s="1">
        <v>2023</v>
      </c>
      <c r="F226" s="1" t="s">
        <v>307</v>
      </c>
      <c r="G226" s="1" t="s">
        <v>293</v>
      </c>
      <c r="H226" s="1" t="s">
        <v>42</v>
      </c>
      <c r="I226" s="1" t="s">
        <v>15</v>
      </c>
      <c r="J226" s="1" t="s">
        <v>16</v>
      </c>
      <c r="K226" s="1">
        <v>24</v>
      </c>
      <c r="L226" s="1">
        <v>1.87</v>
      </c>
      <c r="M226" s="1">
        <f t="shared" si="3"/>
        <v>44.88</v>
      </c>
    </row>
    <row r="227" spans="1:13" x14ac:dyDescent="0.35">
      <c r="A227" s="1" t="s">
        <v>248</v>
      </c>
      <c r="B227" s="6">
        <v>45236</v>
      </c>
      <c r="C227" s="2">
        <v>11</v>
      </c>
      <c r="D227" s="2">
        <v>6</v>
      </c>
      <c r="E227" s="1">
        <v>2023</v>
      </c>
      <c r="F227" s="1" t="s">
        <v>307</v>
      </c>
      <c r="G227" s="1" t="s">
        <v>292</v>
      </c>
      <c r="H227" s="1" t="s">
        <v>7</v>
      </c>
      <c r="I227" s="1" t="s">
        <v>8</v>
      </c>
      <c r="J227" s="1" t="s">
        <v>38</v>
      </c>
      <c r="K227" s="1">
        <v>83</v>
      </c>
      <c r="L227" s="1">
        <v>1.87</v>
      </c>
      <c r="M227" s="1">
        <f t="shared" si="3"/>
        <v>155.21</v>
      </c>
    </row>
    <row r="228" spans="1:13" x14ac:dyDescent="0.35">
      <c r="A228" s="1" t="s">
        <v>249</v>
      </c>
      <c r="B228" s="6">
        <v>45239</v>
      </c>
      <c r="C228" s="2">
        <v>11</v>
      </c>
      <c r="D228" s="2">
        <v>9</v>
      </c>
      <c r="E228" s="1">
        <v>2023</v>
      </c>
      <c r="F228" s="1" t="s">
        <v>307</v>
      </c>
      <c r="G228" s="1" t="s">
        <v>292</v>
      </c>
      <c r="H228" s="1" t="s">
        <v>7</v>
      </c>
      <c r="I228" s="1" t="s">
        <v>15</v>
      </c>
      <c r="J228" s="1" t="s">
        <v>36</v>
      </c>
      <c r="K228" s="1">
        <v>124</v>
      </c>
      <c r="L228" s="1">
        <v>2.84</v>
      </c>
      <c r="M228" s="1">
        <f t="shared" si="3"/>
        <v>352.15999999999997</v>
      </c>
    </row>
    <row r="229" spans="1:13" x14ac:dyDescent="0.35">
      <c r="A229" s="1" t="s">
        <v>250</v>
      </c>
      <c r="B229" s="6">
        <v>45242</v>
      </c>
      <c r="C229" s="2">
        <v>11</v>
      </c>
      <c r="D229" s="2">
        <v>12</v>
      </c>
      <c r="E229" s="1">
        <v>2023</v>
      </c>
      <c r="F229" s="1" t="s">
        <v>307</v>
      </c>
      <c r="G229" s="1" t="s">
        <v>293</v>
      </c>
      <c r="H229" s="1" t="s">
        <v>14</v>
      </c>
      <c r="I229" s="1" t="s">
        <v>8</v>
      </c>
      <c r="J229" s="1" t="s">
        <v>9</v>
      </c>
      <c r="K229" s="1">
        <v>137</v>
      </c>
      <c r="L229" s="1">
        <v>1.77</v>
      </c>
      <c r="M229" s="1">
        <f t="shared" si="3"/>
        <v>242.49</v>
      </c>
    </row>
    <row r="230" spans="1:13" x14ac:dyDescent="0.35">
      <c r="A230" s="1" t="s">
        <v>251</v>
      </c>
      <c r="B230" s="6">
        <v>45245</v>
      </c>
      <c r="C230" s="2">
        <v>11</v>
      </c>
      <c r="D230" s="2">
        <v>15</v>
      </c>
      <c r="E230" s="1">
        <v>2023</v>
      </c>
      <c r="F230" s="1" t="s">
        <v>307</v>
      </c>
      <c r="G230" s="1" t="s">
        <v>292</v>
      </c>
      <c r="H230" s="1" t="s">
        <v>18</v>
      </c>
      <c r="I230" s="1" t="s">
        <v>15</v>
      </c>
      <c r="J230" s="1" t="s">
        <v>20</v>
      </c>
      <c r="K230" s="1">
        <v>146</v>
      </c>
      <c r="L230" s="1">
        <v>2.1800000000000002</v>
      </c>
      <c r="M230" s="1">
        <f t="shared" si="3"/>
        <v>318.28000000000003</v>
      </c>
    </row>
    <row r="231" spans="1:13" x14ac:dyDescent="0.35">
      <c r="A231" s="1" t="s">
        <v>252</v>
      </c>
      <c r="B231" s="6">
        <v>45248</v>
      </c>
      <c r="C231" s="2">
        <v>11</v>
      </c>
      <c r="D231" s="2">
        <v>18</v>
      </c>
      <c r="E231" s="1">
        <v>2023</v>
      </c>
      <c r="F231" s="1" t="s">
        <v>307</v>
      </c>
      <c r="G231" s="1" t="s">
        <v>292</v>
      </c>
      <c r="H231" s="1" t="s">
        <v>18</v>
      </c>
      <c r="I231" s="1" t="s">
        <v>15</v>
      </c>
      <c r="J231" s="1" t="s">
        <v>16</v>
      </c>
      <c r="K231" s="1">
        <v>34</v>
      </c>
      <c r="L231" s="1">
        <v>1.87</v>
      </c>
      <c r="M231" s="1">
        <f t="shared" si="3"/>
        <v>63.580000000000005</v>
      </c>
    </row>
    <row r="232" spans="1:13" x14ac:dyDescent="0.35">
      <c r="A232" s="1" t="s">
        <v>253</v>
      </c>
      <c r="B232" s="6">
        <v>45251</v>
      </c>
      <c r="C232" s="2">
        <v>11</v>
      </c>
      <c r="D232" s="2">
        <v>21</v>
      </c>
      <c r="E232" s="1">
        <v>2023</v>
      </c>
      <c r="F232" s="1" t="s">
        <v>307</v>
      </c>
      <c r="G232" s="1" t="s">
        <v>293</v>
      </c>
      <c r="H232" s="1" t="s">
        <v>42</v>
      </c>
      <c r="I232" s="1" t="s">
        <v>8</v>
      </c>
      <c r="J232" s="1" t="s">
        <v>9</v>
      </c>
      <c r="K232" s="1">
        <v>20</v>
      </c>
      <c r="L232" s="1">
        <v>1.77</v>
      </c>
      <c r="M232" s="1">
        <f t="shared" si="3"/>
        <v>35.4</v>
      </c>
    </row>
    <row r="233" spans="1:13" x14ac:dyDescent="0.35">
      <c r="A233" s="1" t="s">
        <v>254</v>
      </c>
      <c r="B233" s="6">
        <v>45254</v>
      </c>
      <c r="C233" s="2">
        <v>11</v>
      </c>
      <c r="D233" s="2">
        <v>24</v>
      </c>
      <c r="E233" s="1">
        <v>2023</v>
      </c>
      <c r="F233" s="1" t="s">
        <v>307</v>
      </c>
      <c r="G233" s="1" t="s">
        <v>292</v>
      </c>
      <c r="H233" s="1" t="s">
        <v>7</v>
      </c>
      <c r="I233" s="1" t="s">
        <v>15</v>
      </c>
      <c r="J233" s="1" t="s">
        <v>20</v>
      </c>
      <c r="K233" s="1">
        <v>139</v>
      </c>
      <c r="L233" s="1">
        <v>2.1800000000000002</v>
      </c>
      <c r="M233" s="1">
        <f t="shared" si="3"/>
        <v>303.02000000000004</v>
      </c>
    </row>
    <row r="234" spans="1:13" x14ac:dyDescent="0.35">
      <c r="A234" s="1" t="s">
        <v>255</v>
      </c>
      <c r="B234" s="6">
        <v>45257</v>
      </c>
      <c r="C234" s="2">
        <v>11</v>
      </c>
      <c r="D234" s="2">
        <v>27</v>
      </c>
      <c r="E234" s="1">
        <v>2023</v>
      </c>
      <c r="F234" s="1" t="s">
        <v>307</v>
      </c>
      <c r="G234" s="1" t="s">
        <v>292</v>
      </c>
      <c r="H234" s="1" t="s">
        <v>7</v>
      </c>
      <c r="I234" s="1" t="s">
        <v>15</v>
      </c>
      <c r="J234" s="1" t="s">
        <v>16</v>
      </c>
      <c r="K234" s="1">
        <v>211</v>
      </c>
      <c r="L234" s="1">
        <v>1.87</v>
      </c>
      <c r="M234" s="1">
        <f t="shared" si="3"/>
        <v>394.57000000000005</v>
      </c>
    </row>
    <row r="235" spans="1:13" x14ac:dyDescent="0.35">
      <c r="A235" s="1" t="s">
        <v>256</v>
      </c>
      <c r="B235" s="6">
        <v>45260</v>
      </c>
      <c r="C235" s="2">
        <v>11</v>
      </c>
      <c r="D235" s="2">
        <v>30</v>
      </c>
      <c r="E235" s="1">
        <v>2023</v>
      </c>
      <c r="F235" s="1" t="s">
        <v>307</v>
      </c>
      <c r="G235" s="1" t="s">
        <v>292</v>
      </c>
      <c r="H235" s="1" t="s">
        <v>7</v>
      </c>
      <c r="I235" s="1" t="s">
        <v>11</v>
      </c>
      <c r="J235" s="1" t="s">
        <v>12</v>
      </c>
      <c r="K235" s="1">
        <v>20</v>
      </c>
      <c r="L235" s="1">
        <v>3.49</v>
      </c>
      <c r="M235" s="1">
        <f t="shared" si="3"/>
        <v>69.800000000000011</v>
      </c>
    </row>
    <row r="236" spans="1:13" x14ac:dyDescent="0.35">
      <c r="A236" s="1" t="s">
        <v>257</v>
      </c>
      <c r="B236" s="6">
        <v>45263</v>
      </c>
      <c r="C236" s="2">
        <v>12</v>
      </c>
      <c r="D236" s="2">
        <v>3</v>
      </c>
      <c r="E236" s="1">
        <v>2023</v>
      </c>
      <c r="F236" s="1" t="s">
        <v>308</v>
      </c>
      <c r="G236" s="1" t="s">
        <v>293</v>
      </c>
      <c r="H236" s="1" t="s">
        <v>14</v>
      </c>
      <c r="I236" s="1" t="s">
        <v>8</v>
      </c>
      <c r="J236" s="1" t="s">
        <v>38</v>
      </c>
      <c r="K236" s="1">
        <v>42</v>
      </c>
      <c r="L236" s="1">
        <v>1.87</v>
      </c>
      <c r="M236" s="1">
        <f t="shared" si="3"/>
        <v>78.540000000000006</v>
      </c>
    </row>
    <row r="237" spans="1:13" x14ac:dyDescent="0.35">
      <c r="A237" s="1" t="s">
        <v>258</v>
      </c>
      <c r="B237" s="6">
        <v>45266</v>
      </c>
      <c r="C237" s="2">
        <v>12</v>
      </c>
      <c r="D237" s="2">
        <v>6</v>
      </c>
      <c r="E237" s="1">
        <v>2023</v>
      </c>
      <c r="F237" s="1" t="s">
        <v>308</v>
      </c>
      <c r="G237" s="1" t="s">
        <v>293</v>
      </c>
      <c r="H237" s="1" t="s">
        <v>14</v>
      </c>
      <c r="I237" s="1" t="s">
        <v>15</v>
      </c>
      <c r="J237" s="1" t="s">
        <v>36</v>
      </c>
      <c r="K237" s="1">
        <v>100</v>
      </c>
      <c r="L237" s="1">
        <v>2.84</v>
      </c>
      <c r="M237" s="1">
        <f t="shared" si="3"/>
        <v>284</v>
      </c>
    </row>
    <row r="238" spans="1:13" x14ac:dyDescent="0.35">
      <c r="A238" s="1" t="s">
        <v>259</v>
      </c>
      <c r="B238" s="6">
        <v>45269</v>
      </c>
      <c r="C238" s="2">
        <v>12</v>
      </c>
      <c r="D238" s="2">
        <v>9</v>
      </c>
      <c r="E238" s="1">
        <v>2023</v>
      </c>
      <c r="F238" s="1" t="s">
        <v>308</v>
      </c>
      <c r="G238" s="1" t="s">
        <v>292</v>
      </c>
      <c r="H238" s="1" t="s">
        <v>18</v>
      </c>
      <c r="I238" s="1" t="s">
        <v>8</v>
      </c>
      <c r="J238" s="1" t="s">
        <v>9</v>
      </c>
      <c r="K238" s="1">
        <v>38</v>
      </c>
      <c r="L238" s="1">
        <v>1.77</v>
      </c>
      <c r="M238" s="1">
        <f t="shared" si="3"/>
        <v>67.260000000000005</v>
      </c>
    </row>
    <row r="239" spans="1:13" x14ac:dyDescent="0.35">
      <c r="A239" s="1" t="s">
        <v>260</v>
      </c>
      <c r="B239" s="6">
        <v>45272</v>
      </c>
      <c r="C239" s="2">
        <v>12</v>
      </c>
      <c r="D239" s="2">
        <v>12</v>
      </c>
      <c r="E239" s="1">
        <v>2023</v>
      </c>
      <c r="F239" s="1" t="s">
        <v>308</v>
      </c>
      <c r="G239" s="1" t="s">
        <v>292</v>
      </c>
      <c r="H239" s="1" t="s">
        <v>18</v>
      </c>
      <c r="I239" s="1" t="s">
        <v>11</v>
      </c>
      <c r="J239" s="1" t="s">
        <v>12</v>
      </c>
      <c r="K239" s="1">
        <v>25</v>
      </c>
      <c r="L239" s="1">
        <v>3.49</v>
      </c>
      <c r="M239" s="1">
        <f t="shared" si="3"/>
        <v>87.25</v>
      </c>
    </row>
    <row r="240" spans="1:13" x14ac:dyDescent="0.35">
      <c r="A240" s="1" t="s">
        <v>261</v>
      </c>
      <c r="B240" s="6">
        <v>45275</v>
      </c>
      <c r="C240" s="2">
        <v>12</v>
      </c>
      <c r="D240" s="2">
        <v>15</v>
      </c>
      <c r="E240" s="1">
        <v>2023</v>
      </c>
      <c r="F240" s="1" t="s">
        <v>308</v>
      </c>
      <c r="G240" s="1" t="s">
        <v>293</v>
      </c>
      <c r="H240" s="1" t="s">
        <v>42</v>
      </c>
      <c r="I240" s="1" t="s">
        <v>15</v>
      </c>
      <c r="J240" s="1" t="s">
        <v>16</v>
      </c>
      <c r="K240" s="1">
        <v>96</v>
      </c>
      <c r="L240" s="1">
        <v>1.87</v>
      </c>
      <c r="M240" s="1">
        <f t="shared" si="3"/>
        <v>179.52</v>
      </c>
    </row>
    <row r="241" spans="1:13" x14ac:dyDescent="0.35">
      <c r="A241" s="1" t="s">
        <v>262</v>
      </c>
      <c r="B241" s="6">
        <v>45278</v>
      </c>
      <c r="C241" s="2">
        <v>12</v>
      </c>
      <c r="D241" s="2">
        <v>18</v>
      </c>
      <c r="E241" s="1">
        <v>2023</v>
      </c>
      <c r="F241" s="1" t="s">
        <v>308</v>
      </c>
      <c r="G241" s="1" t="s">
        <v>292</v>
      </c>
      <c r="H241" s="1" t="s">
        <v>7</v>
      </c>
      <c r="I241" s="1" t="s">
        <v>15</v>
      </c>
      <c r="J241" s="1" t="s">
        <v>20</v>
      </c>
      <c r="K241" s="1">
        <v>34</v>
      </c>
      <c r="L241" s="1">
        <v>2.1800000000000002</v>
      </c>
      <c r="M241" s="1">
        <f t="shared" si="3"/>
        <v>74.12</v>
      </c>
    </row>
    <row r="242" spans="1:13" x14ac:dyDescent="0.35">
      <c r="A242" s="1" t="s">
        <v>263</v>
      </c>
      <c r="B242" s="6">
        <v>45281</v>
      </c>
      <c r="C242" s="2">
        <v>12</v>
      </c>
      <c r="D242" s="2">
        <v>21</v>
      </c>
      <c r="E242" s="1">
        <v>2023</v>
      </c>
      <c r="F242" s="1" t="s">
        <v>308</v>
      </c>
      <c r="G242" s="1" t="s">
        <v>292</v>
      </c>
      <c r="H242" s="1" t="s">
        <v>7</v>
      </c>
      <c r="I242" s="1" t="s">
        <v>15</v>
      </c>
      <c r="J242" s="1" t="s">
        <v>16</v>
      </c>
      <c r="K242" s="1">
        <v>245</v>
      </c>
      <c r="L242" s="1">
        <v>1.87</v>
      </c>
      <c r="M242" s="1">
        <f t="shared" si="3"/>
        <v>458.15000000000003</v>
      </c>
    </row>
    <row r="243" spans="1:13" x14ac:dyDescent="0.35">
      <c r="A243" s="1" t="s">
        <v>264</v>
      </c>
      <c r="B243" s="6">
        <v>45284</v>
      </c>
      <c r="C243" s="2">
        <v>12</v>
      </c>
      <c r="D243" s="2">
        <v>24</v>
      </c>
      <c r="E243" s="1">
        <v>2023</v>
      </c>
      <c r="F243" s="1" t="s">
        <v>308</v>
      </c>
      <c r="G243" s="1" t="s">
        <v>292</v>
      </c>
      <c r="H243" s="1" t="s">
        <v>7</v>
      </c>
      <c r="I243" s="1" t="s">
        <v>11</v>
      </c>
      <c r="J243" s="1" t="s">
        <v>12</v>
      </c>
      <c r="K243" s="1">
        <v>30</v>
      </c>
      <c r="L243" s="1">
        <v>3.49</v>
      </c>
      <c r="M243" s="1">
        <f t="shared" si="3"/>
        <v>104.7</v>
      </c>
    </row>
    <row r="244" spans="1:13" x14ac:dyDescent="0.35">
      <c r="A244" s="1" t="s">
        <v>265</v>
      </c>
      <c r="B244" s="6">
        <v>45287</v>
      </c>
      <c r="C244" s="2">
        <v>12</v>
      </c>
      <c r="D244" s="2">
        <v>27</v>
      </c>
      <c r="E244" s="1">
        <v>2023</v>
      </c>
      <c r="F244" s="1" t="s">
        <v>308</v>
      </c>
      <c r="G244" s="1" t="s">
        <v>293</v>
      </c>
      <c r="H244" s="1" t="s">
        <v>14</v>
      </c>
      <c r="I244" s="1" t="s">
        <v>8</v>
      </c>
      <c r="J244" s="1" t="s">
        <v>38</v>
      </c>
      <c r="K244" s="1">
        <v>30</v>
      </c>
      <c r="L244" s="1">
        <v>1.87</v>
      </c>
      <c r="M244" s="1">
        <f t="shared" si="3"/>
        <v>56.1</v>
      </c>
    </row>
    <row r="245" spans="1:13" x14ac:dyDescent="0.35">
      <c r="A245" s="1" t="s">
        <v>266</v>
      </c>
      <c r="B245" s="6">
        <v>45290</v>
      </c>
      <c r="C245" s="2">
        <v>12</v>
      </c>
      <c r="D245" s="2">
        <v>30</v>
      </c>
      <c r="E245" s="1">
        <v>2023</v>
      </c>
      <c r="F245" s="1" t="s">
        <v>308</v>
      </c>
      <c r="G245" s="1" t="s">
        <v>293</v>
      </c>
      <c r="H245" s="1" t="s">
        <v>14</v>
      </c>
      <c r="I245" s="1" t="s">
        <v>15</v>
      </c>
      <c r="J245" s="1" t="s">
        <v>36</v>
      </c>
      <c r="K245" s="1">
        <v>44</v>
      </c>
      <c r="L245" s="1">
        <v>2.84</v>
      </c>
      <c r="M245" s="1">
        <f t="shared" si="3"/>
        <v>124.96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D12-FA06-47F9-A441-1180F9FFBBE8}">
  <dimension ref="B1:C3"/>
  <sheetViews>
    <sheetView workbookViewId="0">
      <selection activeCell="C13" sqref="C13"/>
    </sheetView>
  </sheetViews>
  <sheetFormatPr defaultRowHeight="14.5" x14ac:dyDescent="0.35"/>
  <cols>
    <col min="2" max="2" width="10.7265625" customWidth="1"/>
  </cols>
  <sheetData>
    <row r="1" spans="2:3" x14ac:dyDescent="0.35">
      <c r="B1" s="3" t="s">
        <v>294</v>
      </c>
      <c r="C1" s="3" t="s">
        <v>291</v>
      </c>
    </row>
    <row r="2" spans="2:3" x14ac:dyDescent="0.35">
      <c r="B2" s="1" t="s">
        <v>295</v>
      </c>
      <c r="C2" s="1" t="s">
        <v>292</v>
      </c>
    </row>
    <row r="3" spans="2:3" x14ac:dyDescent="0.35">
      <c r="B3" s="1" t="s">
        <v>296</v>
      </c>
      <c r="C3" s="1" t="s">
        <v>293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9772-A997-482B-B25D-2C4C6DB67C2A}">
  <dimension ref="B1:C5"/>
  <sheetViews>
    <sheetView workbookViewId="0">
      <selection activeCell="C9" sqref="C9"/>
    </sheetView>
  </sheetViews>
  <sheetFormatPr defaultRowHeight="14.5" x14ac:dyDescent="0.35"/>
  <cols>
    <col min="2" max="2" width="9.36328125" customWidth="1"/>
    <col min="3" max="3" width="10.36328125" bestFit="1" customWidth="1"/>
  </cols>
  <sheetData>
    <row r="1" spans="2:3" x14ac:dyDescent="0.35">
      <c r="B1" s="1" t="s">
        <v>270</v>
      </c>
      <c r="C1" s="4" t="s">
        <v>1</v>
      </c>
    </row>
    <row r="2" spans="2:3" x14ac:dyDescent="0.35">
      <c r="B2" s="1" t="s">
        <v>271</v>
      </c>
      <c r="C2" s="1" t="s">
        <v>7</v>
      </c>
    </row>
    <row r="3" spans="2:3" x14ac:dyDescent="0.35">
      <c r="B3" s="1" t="s">
        <v>272</v>
      </c>
      <c r="C3" s="1" t="s">
        <v>14</v>
      </c>
    </row>
    <row r="4" spans="2:3" x14ac:dyDescent="0.35">
      <c r="B4" s="1" t="s">
        <v>273</v>
      </c>
      <c r="C4" s="1" t="s">
        <v>18</v>
      </c>
    </row>
    <row r="5" spans="2:3" x14ac:dyDescent="0.35">
      <c r="B5" s="1" t="s">
        <v>274</v>
      </c>
      <c r="C5" s="1" t="s">
        <v>42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2B73-DA81-4131-8A74-C6C839E06FDB}">
  <dimension ref="B1:C5"/>
  <sheetViews>
    <sheetView workbookViewId="0">
      <selection activeCell="B8" sqref="B8"/>
    </sheetView>
  </sheetViews>
  <sheetFormatPr defaultRowHeight="14.5" x14ac:dyDescent="0.35"/>
  <cols>
    <col min="2" max="2" width="19.26953125" customWidth="1"/>
    <col min="3" max="3" width="17.54296875" customWidth="1"/>
  </cols>
  <sheetData>
    <row r="1" spans="2:3" x14ac:dyDescent="0.35">
      <c r="B1" s="1" t="s">
        <v>275</v>
      </c>
      <c r="C1" s="4" t="s">
        <v>2</v>
      </c>
    </row>
    <row r="2" spans="2:3" x14ac:dyDescent="0.35">
      <c r="B2" s="1" t="s">
        <v>276</v>
      </c>
      <c r="C2" s="1" t="s">
        <v>8</v>
      </c>
    </row>
    <row r="3" spans="2:3" x14ac:dyDescent="0.35">
      <c r="B3" s="1" t="s">
        <v>277</v>
      </c>
      <c r="C3" s="1" t="s">
        <v>11</v>
      </c>
    </row>
    <row r="4" spans="2:3" x14ac:dyDescent="0.35">
      <c r="B4" s="1" t="s">
        <v>278</v>
      </c>
      <c r="C4" s="1" t="s">
        <v>15</v>
      </c>
    </row>
    <row r="5" spans="2:3" x14ac:dyDescent="0.35">
      <c r="B5" s="1" t="s">
        <v>279</v>
      </c>
      <c r="C5" s="1" t="s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891-A369-4360-93AB-DD6EA5AC4BB9}">
  <dimension ref="B1:C10"/>
  <sheetViews>
    <sheetView workbookViewId="0">
      <selection activeCell="C13" sqref="C13"/>
    </sheetView>
  </sheetViews>
  <sheetFormatPr defaultRowHeight="14.5" x14ac:dyDescent="0.35"/>
  <cols>
    <col min="2" max="2" width="11.54296875" customWidth="1"/>
    <col min="3" max="3" width="13.36328125" bestFit="1" customWidth="1"/>
  </cols>
  <sheetData>
    <row r="1" spans="2:3" x14ac:dyDescent="0.35">
      <c r="B1" s="1" t="s">
        <v>280</v>
      </c>
      <c r="C1" s="3" t="s">
        <v>3</v>
      </c>
    </row>
    <row r="2" spans="2:3" x14ac:dyDescent="0.35">
      <c r="B2" s="1" t="s">
        <v>281</v>
      </c>
      <c r="C2" s="1" t="s">
        <v>9</v>
      </c>
    </row>
    <row r="3" spans="2:3" x14ac:dyDescent="0.35">
      <c r="B3" s="1" t="s">
        <v>282</v>
      </c>
      <c r="C3" s="1" t="s">
        <v>12</v>
      </c>
    </row>
    <row r="4" spans="2:3" x14ac:dyDescent="0.35">
      <c r="B4" s="1" t="s">
        <v>283</v>
      </c>
      <c r="C4" s="1" t="s">
        <v>16</v>
      </c>
    </row>
    <row r="5" spans="2:3" x14ac:dyDescent="0.35">
      <c r="B5" s="1" t="s">
        <v>284</v>
      </c>
      <c r="C5" s="1" t="s">
        <v>20</v>
      </c>
    </row>
    <row r="6" spans="2:3" x14ac:dyDescent="0.35">
      <c r="B6" s="1" t="s">
        <v>285</v>
      </c>
      <c r="C6" s="1" t="s">
        <v>27</v>
      </c>
    </row>
    <row r="7" spans="2:3" x14ac:dyDescent="0.35">
      <c r="B7" s="1" t="s">
        <v>286</v>
      </c>
      <c r="C7" s="1" t="s">
        <v>36</v>
      </c>
    </row>
    <row r="8" spans="2:3" x14ac:dyDescent="0.35">
      <c r="B8" s="1" t="s">
        <v>287</v>
      </c>
      <c r="C8" s="1" t="s">
        <v>38</v>
      </c>
    </row>
    <row r="9" spans="2:3" x14ac:dyDescent="0.35">
      <c r="B9" s="1" t="s">
        <v>288</v>
      </c>
      <c r="C9" s="1" t="s">
        <v>107</v>
      </c>
    </row>
    <row r="10" spans="2:3" x14ac:dyDescent="0.35">
      <c r="B10" s="1" t="s">
        <v>289</v>
      </c>
      <c r="C10" s="1" t="s">
        <v>137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B5A4-4BAB-41FA-9D1C-8C83AC59013B}">
  <dimension ref="B1:D25"/>
  <sheetViews>
    <sheetView workbookViewId="0">
      <selection activeCell="B26" sqref="B26"/>
    </sheetView>
  </sheetViews>
  <sheetFormatPr defaultRowHeight="14.5" x14ac:dyDescent="0.35"/>
  <cols>
    <col min="4" max="4" width="13.36328125" customWidth="1"/>
  </cols>
  <sheetData>
    <row r="1" spans="2:4" x14ac:dyDescent="0.35">
      <c r="B1" s="4" t="s">
        <v>268</v>
      </c>
      <c r="C1" s="5" t="s">
        <v>267</v>
      </c>
      <c r="D1" s="1" t="s">
        <v>290</v>
      </c>
    </row>
    <row r="2" spans="2:4" x14ac:dyDescent="0.35">
      <c r="B2" s="1">
        <v>2022</v>
      </c>
      <c r="C2" s="2">
        <v>1</v>
      </c>
      <c r="D2" s="1" t="str" cm="1">
        <f t="array" ref="D2">_xlfn.IFS(C2=1,"January",C2=2,"February",C2=3,"March",C2=4,"April",C2=5,"May",C2=6,"June",C2=7,"July",C2=8,"August",C2=9,"September",C2=10,"October",C2=11,"November",C2=12,"December")</f>
        <v>January</v>
      </c>
    </row>
    <row r="3" spans="2:4" x14ac:dyDescent="0.35">
      <c r="B3" s="1">
        <v>2022</v>
      </c>
      <c r="C3" s="2">
        <v>2</v>
      </c>
      <c r="D3" s="1" t="str" cm="1">
        <f t="array" ref="D3">_xlfn.IFS(C3=1,"January",C3=2,"February",C3=3,"March",C3=4,"April",C3=5,"May",C3=6,"June",C3=7,"July",C3=8,"August",C3=9,"September",C3=10,"October",C3=11,"November",C3=12,"December")</f>
        <v>February</v>
      </c>
    </row>
    <row r="4" spans="2:4" x14ac:dyDescent="0.35">
      <c r="B4" s="1">
        <v>2022</v>
      </c>
      <c r="C4" s="2">
        <v>3</v>
      </c>
      <c r="D4" s="1" t="str" cm="1">
        <f t="array" ref="D4">_xlfn.IFS(C4=1,"January",C4=2,"February",C4=3,"March",C4=4,"April",C4=5,"May",C4=6,"June",C4=7,"July",C4=8,"August",C4=9,"September",C4=10,"October",C4=11,"November",C4=12,"December")</f>
        <v>March</v>
      </c>
    </row>
    <row r="5" spans="2:4" x14ac:dyDescent="0.35">
      <c r="B5" s="1">
        <v>2022</v>
      </c>
      <c r="C5" s="2">
        <v>4</v>
      </c>
      <c r="D5" s="1" t="str" cm="1">
        <f t="array" ref="D5">_xlfn.IFS(C5=1,"January",C5=2,"February",C5=3,"March",C5=4,"April",C5=5,"May",C5=6,"June",C5=7,"July",C5=8,"August",C5=9,"September",C5=10,"October",C5=11,"November",C5=12,"December")</f>
        <v>April</v>
      </c>
    </row>
    <row r="6" spans="2:4" x14ac:dyDescent="0.35">
      <c r="B6" s="1">
        <v>2022</v>
      </c>
      <c r="C6" s="2">
        <v>5</v>
      </c>
      <c r="D6" s="1" t="str" cm="1">
        <f t="array" ref="D6">_xlfn.IFS(C6=1,"January",C6=2,"February",C6=3,"March",C6=4,"April",C6=5,"May",C6=6,"June",C6=7,"July",C6=8,"August",C6=9,"September",C6=10,"October",C6=11,"November",C6=12,"December")</f>
        <v>May</v>
      </c>
    </row>
    <row r="7" spans="2:4" x14ac:dyDescent="0.35">
      <c r="B7" s="1">
        <v>2022</v>
      </c>
      <c r="C7" s="2">
        <v>6</v>
      </c>
      <c r="D7" s="1" t="str" cm="1">
        <f t="array" ref="D7">_xlfn.IFS(C7=1,"January",C7=2,"February",C7=3,"March",C7=4,"April",C7=5,"May",C7=6,"June",C7=7,"July",C7=8,"August",C7=9,"September",C7=10,"October",C7=11,"November",C7=12,"December")</f>
        <v>June</v>
      </c>
    </row>
    <row r="8" spans="2:4" x14ac:dyDescent="0.35">
      <c r="B8" s="1">
        <v>2022</v>
      </c>
      <c r="C8" s="2">
        <v>7</v>
      </c>
      <c r="D8" s="1" t="str" cm="1">
        <f t="array" ref="D8">_xlfn.IFS(C8=1,"January",C8=2,"February",C8=3,"March",C8=4,"April",C8=5,"May",C8=6,"June",C8=7,"July",C8=8,"August",C8=9,"September",C8=10,"October",C8=11,"November",C8=12,"December")</f>
        <v>July</v>
      </c>
    </row>
    <row r="9" spans="2:4" x14ac:dyDescent="0.35">
      <c r="B9" s="1">
        <v>2022</v>
      </c>
      <c r="C9" s="2">
        <v>8</v>
      </c>
      <c r="D9" s="1" t="str" cm="1">
        <f t="array" ref="D9">_xlfn.IFS(C9=1,"January",C9=2,"February",C9=3,"March",C9=4,"April",C9=5,"May",C9=6,"June",C9=7,"July",C9=8,"August",C9=9,"September",C9=10,"October",C9=11,"November",C9=12,"December")</f>
        <v>August</v>
      </c>
    </row>
    <row r="10" spans="2:4" x14ac:dyDescent="0.35">
      <c r="B10" s="1">
        <v>2022</v>
      </c>
      <c r="C10" s="2">
        <v>9</v>
      </c>
      <c r="D10" s="1" t="str" cm="1">
        <f t="array" ref="D10">_xlfn.IFS(C10=1,"January",C10=2,"February",C10=3,"March",C10=4,"April",C10=5,"May",C10=6,"June",C10=7,"July",C10=8,"August",C10=9,"September",C10=10,"October",C10=11,"November",C10=12,"December")</f>
        <v>September</v>
      </c>
    </row>
    <row r="11" spans="2:4" x14ac:dyDescent="0.35">
      <c r="B11" s="1">
        <v>2022</v>
      </c>
      <c r="C11" s="2">
        <v>10</v>
      </c>
      <c r="D11" s="1" t="str" cm="1">
        <f t="array" ref="D11">_xlfn.IFS(C11=1,"January",C11=2,"February",C11=3,"March",C11=4,"April",C11=5,"May",C11=6,"June",C11=7,"July",C11=8,"August",C11=9,"September",C11=10,"October",C11=11,"November",C11=12,"December")</f>
        <v>October</v>
      </c>
    </row>
    <row r="12" spans="2:4" x14ac:dyDescent="0.35">
      <c r="B12" s="1">
        <v>2022</v>
      </c>
      <c r="C12" s="2">
        <v>11</v>
      </c>
      <c r="D12" s="1" t="str" cm="1">
        <f t="array" ref="D12">_xlfn.IFS(C12=1,"January",C12=2,"February",C12=3,"March",C12=4,"April",C12=5,"May",C12=6,"June",C12=7,"July",C12=8,"August",C12=9,"September",C12=10,"October",C12=11,"November",C12=12,"December")</f>
        <v>November</v>
      </c>
    </row>
    <row r="13" spans="2:4" x14ac:dyDescent="0.35">
      <c r="B13" s="1">
        <v>2022</v>
      </c>
      <c r="C13" s="2">
        <v>12</v>
      </c>
      <c r="D13" s="1" t="str" cm="1">
        <f t="array" ref="D13">_xlfn.IFS(C13=1,"January",C13=2,"February",C13=3,"March",C13=4,"April",C13=5,"May",C13=6,"June",C13=7,"July",C13=8,"August",C13=9,"September",C13=10,"October",C13=11,"November",C13=12,"December")</f>
        <v>December</v>
      </c>
    </row>
    <row r="14" spans="2:4" x14ac:dyDescent="0.35">
      <c r="B14" s="1">
        <v>2023</v>
      </c>
      <c r="C14" s="2">
        <v>1</v>
      </c>
      <c r="D14" s="1" t="str" cm="1">
        <f t="array" ref="D14">_xlfn.IFS(C14=1,"January",C14=2,"February",C14=3,"March",C14=4,"April",C14=5,"May",C14=6,"June",C14=7,"July",C14=8,"August",C14=9,"September",C14=10,"October",C14=11,"November",C14=12,"December")</f>
        <v>January</v>
      </c>
    </row>
    <row r="15" spans="2:4" x14ac:dyDescent="0.35">
      <c r="B15" s="1">
        <v>2023</v>
      </c>
      <c r="C15" s="2">
        <v>2</v>
      </c>
      <c r="D15" s="1" t="str" cm="1">
        <f t="array" ref="D15">_xlfn.IFS(C15=1,"January",C15=2,"February",C15=3,"March",C15=4,"April",C15=5,"May",C15=6,"June",C15=7,"July",C15=8,"August",C15=9,"September",C15=10,"October",C15=11,"November",C15=12,"December")</f>
        <v>February</v>
      </c>
    </row>
    <row r="16" spans="2:4" x14ac:dyDescent="0.35">
      <c r="B16" s="1">
        <v>2023</v>
      </c>
      <c r="C16" s="2">
        <v>3</v>
      </c>
      <c r="D16" s="1" t="str" cm="1">
        <f t="array" ref="D16">_xlfn.IFS(C16=1,"January",C16=2,"February",C16=3,"March",C16=4,"April",C16=5,"May",C16=6,"June",C16=7,"July",C16=8,"August",C16=9,"September",C16=10,"October",C16=11,"November",C16=12,"December")</f>
        <v>March</v>
      </c>
    </row>
    <row r="17" spans="2:4" x14ac:dyDescent="0.35">
      <c r="B17" s="1">
        <v>2023</v>
      </c>
      <c r="C17" s="2">
        <v>4</v>
      </c>
      <c r="D17" s="1" t="str" cm="1">
        <f t="array" ref="D17">_xlfn.IFS(C17=1,"January",C17=2,"February",C17=3,"March",C17=4,"April",C17=5,"May",C17=6,"June",C17=7,"July",C17=8,"August",C17=9,"September",C17=10,"October",C17=11,"November",C17=12,"December")</f>
        <v>April</v>
      </c>
    </row>
    <row r="18" spans="2:4" x14ac:dyDescent="0.35">
      <c r="B18" s="1">
        <v>2023</v>
      </c>
      <c r="C18" s="2">
        <v>5</v>
      </c>
      <c r="D18" s="1" t="str" cm="1">
        <f t="array" ref="D18">_xlfn.IFS(C18=1,"January",C18=2,"February",C18=3,"March",C18=4,"April",C18=5,"May",C18=6,"June",C18=7,"July",C18=8,"August",C18=9,"September",C18=10,"October",C18=11,"November",C18=12,"December")</f>
        <v>May</v>
      </c>
    </row>
    <row r="19" spans="2:4" x14ac:dyDescent="0.35">
      <c r="B19" s="1">
        <v>2023</v>
      </c>
      <c r="C19" s="2">
        <v>6</v>
      </c>
      <c r="D19" s="1" t="str" cm="1">
        <f t="array" ref="D19">_xlfn.IFS(C19=1,"January",C19=2,"February",C19=3,"March",C19=4,"April",C19=5,"May",C19=6,"June",C19=7,"July",C19=8,"August",C19=9,"September",C19=10,"October",C19=11,"November",C19=12,"December")</f>
        <v>June</v>
      </c>
    </row>
    <row r="20" spans="2:4" x14ac:dyDescent="0.35">
      <c r="B20" s="1">
        <v>2023</v>
      </c>
      <c r="C20" s="2">
        <v>7</v>
      </c>
      <c r="D20" s="1" t="str" cm="1">
        <f t="array" ref="D20">_xlfn.IFS(C20=1,"January",C20=2,"February",C20=3,"March",C20=4,"April",C20=5,"May",C20=6,"June",C20=7,"July",C20=8,"August",C20=9,"September",C20=10,"October",C20=11,"November",C20=12,"December")</f>
        <v>July</v>
      </c>
    </row>
    <row r="21" spans="2:4" x14ac:dyDescent="0.35">
      <c r="B21" s="1">
        <v>2023</v>
      </c>
      <c r="C21" s="2">
        <v>8</v>
      </c>
      <c r="D21" s="1" t="str" cm="1">
        <f t="array" ref="D21">_xlfn.IFS(C21=1,"January",C21=2,"February",C21=3,"March",C21=4,"April",C21=5,"May",C21=6,"June",C21=7,"July",C21=8,"August",C21=9,"September",C21=10,"October",C21=11,"November",C21=12,"December")</f>
        <v>August</v>
      </c>
    </row>
    <row r="22" spans="2:4" x14ac:dyDescent="0.35">
      <c r="B22" s="1">
        <v>2023</v>
      </c>
      <c r="C22" s="2">
        <v>9</v>
      </c>
      <c r="D22" s="1" t="str" cm="1">
        <f t="array" ref="D22">_xlfn.IFS(C22=1,"January",C22=2,"February",C22=3,"March",C22=4,"April",C22=5,"May",C22=6,"June",C22=7,"July",C22=8,"August",C22=9,"September",C22=10,"October",C22=11,"November",C22=12,"December")</f>
        <v>September</v>
      </c>
    </row>
    <row r="23" spans="2:4" x14ac:dyDescent="0.35">
      <c r="B23" s="1">
        <v>2023</v>
      </c>
      <c r="C23" s="2">
        <v>10</v>
      </c>
      <c r="D23" s="1" t="str" cm="1">
        <f t="array" ref="D23">_xlfn.IFS(C23=1,"January",C23=2,"February",C23=3,"March",C23=4,"April",C23=5,"May",C23=6,"June",C23=7,"July",C23=8,"August",C23=9,"September",C23=10,"October",C23=11,"November",C23=12,"December")</f>
        <v>October</v>
      </c>
    </row>
    <row r="24" spans="2:4" x14ac:dyDescent="0.35">
      <c r="B24" s="1">
        <v>2023</v>
      </c>
      <c r="C24" s="2">
        <v>11</v>
      </c>
      <c r="D24" s="1" t="str" cm="1">
        <f t="array" ref="D24">_xlfn.IFS(C24=1,"January",C24=2,"February",C24=3,"March",C24=4,"April",C24=5,"May",C24=6,"June",C24=7,"July",C24=8,"August",C24=9,"September",C24=10,"October",C24=11,"November",C24=12,"December")</f>
        <v>November</v>
      </c>
    </row>
    <row r="25" spans="2:4" x14ac:dyDescent="0.35">
      <c r="B25" s="1">
        <v>2023</v>
      </c>
      <c r="C25" s="2">
        <v>12</v>
      </c>
      <c r="D25" s="1" t="str" cm="1">
        <f t="array" ref="D25">_xlfn.IFS(C25=1,"January",C25=2,"February",C25=3,"March",C25=4,"April",C25=5,"May",C25=6,"June",C25=7,"July",C25=8,"August",C25=9,"September",C25=10,"October",C25=11,"November",C25=12,"December")</f>
        <v>December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144CED9-451A-41DA-8CC2-C0D615D35A74}">
  <ds:schemaRefs/>
</ds:datastoreItem>
</file>

<file path=customXml/itemProps2.xml><?xml version="1.0" encoding="utf-8"?>
<ds:datastoreItem xmlns:ds="http://schemas.openxmlformats.org/officeDocument/2006/customXml" ds:itemID="{9A7E8C44-A7CE-42BD-B7FE-7112B3B0E576}">
  <ds:schemaRefs/>
</ds:datastoreItem>
</file>

<file path=customXml/itemProps3.xml><?xml version="1.0" encoding="utf-8"?>
<ds:datastoreItem xmlns:ds="http://schemas.openxmlformats.org/officeDocument/2006/customXml" ds:itemID="{E0D4F6FD-17DC-4275-B9EE-5323A4CBE3D4}">
  <ds:schemaRefs/>
</ds:datastoreItem>
</file>

<file path=customXml/itemProps4.xml><?xml version="1.0" encoding="utf-8"?>
<ds:datastoreItem xmlns:ds="http://schemas.openxmlformats.org/officeDocument/2006/customXml" ds:itemID="{3398634B-AB24-4021-BDD8-46D5839538BF}">
  <ds:schemaRefs/>
</ds:datastoreItem>
</file>

<file path=customXml/itemProps5.xml><?xml version="1.0" encoding="utf-8"?>
<ds:datastoreItem xmlns:ds="http://schemas.openxmlformats.org/officeDocument/2006/customXml" ds:itemID="{8E1E6486-15D2-4C7E-88B6-0EEFAA6B30C3}">
  <ds:schemaRefs/>
</ds:datastoreItem>
</file>

<file path=customXml/itemProps6.xml><?xml version="1.0" encoding="utf-8"?>
<ds:datastoreItem xmlns:ds="http://schemas.openxmlformats.org/officeDocument/2006/customXml" ds:itemID="{9700BCDC-9348-4696-9A7B-BF465D7D871C}">
  <ds:schemaRefs/>
</ds:datastoreItem>
</file>

<file path=customXml/itemProps7.xml><?xml version="1.0" encoding="utf-8"?>
<ds:datastoreItem xmlns:ds="http://schemas.openxmlformats.org/officeDocument/2006/customXml" ds:itemID="{C8D49E48-4A4A-4ADF-BC37-981EEA58C118}">
  <ds:schemaRefs/>
</ds:datastoreItem>
</file>

<file path=customXml/itemProps8.xml><?xml version="1.0" encoding="utf-8"?>
<ds:datastoreItem xmlns:ds="http://schemas.openxmlformats.org/officeDocument/2006/customXml" ds:itemID="{8089128E-F491-401B-8721-6E5FBDB83AAF}">
  <ds:schemaRefs/>
</ds:datastoreItem>
</file>

<file path=customXml/itemProps9.xml><?xml version="1.0" encoding="utf-8"?>
<ds:datastoreItem xmlns:ds="http://schemas.openxmlformats.org/officeDocument/2006/customXml" ds:itemID="{D728B2B5-8088-48A4-BD35-C277B5DD9E72}">
  <ds:schemaRefs/>
</ds:datastoreItem>
</file>

<file path=customXml/itemProps10.xml><?xml version="1.0" encoding="utf-8"?>
<ds:datastoreItem xmlns:ds="http://schemas.openxmlformats.org/officeDocument/2006/customXml" ds:itemID="{34E1AF29-F5E0-463F-90EE-583A67C16092}">
  <ds:schemaRefs/>
</ds:datastoreItem>
</file>

<file path=customXml/itemProps11.xml><?xml version="1.0" encoding="utf-8"?>
<ds:datastoreItem xmlns:ds="http://schemas.openxmlformats.org/officeDocument/2006/customXml" ds:itemID="{B3207DED-BDFC-479B-A79C-EC1C18C1E257}">
  <ds:schemaRefs/>
</ds:datastoreItem>
</file>

<file path=customXml/itemProps12.xml><?xml version="1.0" encoding="utf-8"?>
<ds:datastoreItem xmlns:ds="http://schemas.openxmlformats.org/officeDocument/2006/customXml" ds:itemID="{91EBCE2E-6254-46AF-B058-68D4C9E7784E}">
  <ds:schemaRefs/>
</ds:datastoreItem>
</file>

<file path=customXml/itemProps13.xml><?xml version="1.0" encoding="utf-8"?>
<ds:datastoreItem xmlns:ds="http://schemas.openxmlformats.org/officeDocument/2006/customXml" ds:itemID="{3C51C999-20B8-409D-AB7D-669369A2DBF6}">
  <ds:schemaRefs/>
</ds:datastoreItem>
</file>

<file path=customXml/itemProps14.xml><?xml version="1.0" encoding="utf-8"?>
<ds:datastoreItem xmlns:ds="http://schemas.openxmlformats.org/officeDocument/2006/customXml" ds:itemID="{A165D802-DA00-41C3-BA7E-FF32BD5F9D62}">
  <ds:schemaRefs/>
</ds:datastoreItem>
</file>

<file path=customXml/itemProps15.xml><?xml version="1.0" encoding="utf-8"?>
<ds:datastoreItem xmlns:ds="http://schemas.openxmlformats.org/officeDocument/2006/customXml" ds:itemID="{9A08D40B-B3FA-4FA3-A801-60F506805753}">
  <ds:schemaRefs/>
</ds:datastoreItem>
</file>

<file path=customXml/itemProps16.xml><?xml version="1.0" encoding="utf-8"?>
<ds:datastoreItem xmlns:ds="http://schemas.openxmlformats.org/officeDocument/2006/customXml" ds:itemID="{E0A7D0CC-6CCD-443B-81E1-0085E4D556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Sales dataset</vt:lpstr>
      <vt:lpstr>Analysed Salesinventory dataset</vt:lpstr>
      <vt:lpstr>region</vt:lpstr>
      <vt:lpstr>state</vt:lpstr>
      <vt:lpstr>product_category</vt:lpstr>
      <vt:lpstr>product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BALOGUN</dc:creator>
  <cp:lastModifiedBy>SEUN BALOGUN</cp:lastModifiedBy>
  <dcterms:created xsi:type="dcterms:W3CDTF">2025-03-21T10:44:25Z</dcterms:created>
  <dcterms:modified xsi:type="dcterms:W3CDTF">2025-04-06T18:47:56Z</dcterms:modified>
</cp:coreProperties>
</file>