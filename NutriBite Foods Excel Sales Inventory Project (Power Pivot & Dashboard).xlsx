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ocuments\DATA ANALYTICS CLASS\Excel Project 2\"/>
    </mc:Choice>
  </mc:AlternateContent>
  <xr:revisionPtr revIDLastSave="0" documentId="13_ncr:1_{27FC238D-3810-4E30-895D-C4AEB05100E6}" xr6:coauthVersionLast="47" xr6:coauthVersionMax="47" xr10:uidLastSave="{00000000-0000-0000-0000-000000000000}"/>
  <bookViews>
    <workbookView xWindow="-110" yWindow="-110" windowWidth="19420" windowHeight="10300" xr2:uid="{9541B2D3-3DA6-4CBD-AFB6-228E207232EC}"/>
  </bookViews>
  <sheets>
    <sheet name="Pivot_Table" sheetId="1" r:id="rId1"/>
    <sheet name="KPI" sheetId="2" r:id="rId2"/>
    <sheet name="dashboard" sheetId="3" r:id="rId3"/>
  </sheets>
  <definedNames>
    <definedName name="Slicer_Product">#N/A</definedName>
    <definedName name="Slicer_Product_Category">#N/A</definedName>
    <definedName name="Slicer_Region">#N/A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_c66b501c-a381-4129-b2ee-75591184aa54" name="date" connection="Excel Seun Sales Inventory Excel Project"/>
          <x15:modelTable id="product_b5ab8aa7-8c70-4751-a4b6-3d4623752143" name="product" connection="Excel Seun Sales Inventory Excel Project"/>
          <x15:modelTable id="product_category_ba21f1a2-3ac0-442b-babc-dd7232681cda" name="product_category" connection="Excel Seun Sales Inventory Excel Project"/>
          <x15:modelTable id="region_049c8e42-e33b-40d2-b28c-a9b1f17d1a39" name="region" connection="Excel Seun Sales Inventory Excel Project"/>
          <x15:modelTable id="sales_inventory_046a12bb-a679-4c65-b49a-9d39c0cbb458" name="sales_inventory" connection="Excel Seun Sales Inventory Excel Project"/>
          <x15:modelTable id="state_42742075-ef4e-45df-8ffe-b28203567009" name="state" connection="Excel Seun Sales Inventory Excel Project"/>
        </x15:modelTables>
        <x15:modelRelationships>
          <x15:modelRelationship fromTable="sales_inventory" fromColumn="Product" toTable="product" toColumn="Product"/>
          <x15:modelRelationship fromTable="sales_inventory" fromColumn="Region" toTable="region" toColumn="Region"/>
          <x15:modelRelationship fromTable="sales_inventory" fromColumn="Product_Category" toTable="product_category" toColumn="Product_Category"/>
          <x15:modelRelationship fromTable="sales_inventory" fromColumn="State" toTable="state"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2" l="1"/>
  <c r="C3" i="2"/>
  <c r="C5" i="2"/>
  <c r="C6"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6C9DFD-C001-4E27-9C2D-B1F73A340B4F}" name="Excel Seun Sales Inventory Excel Project" type="100" refreshedVersion="8">
    <extLst>
      <ext xmlns:x15="http://schemas.microsoft.com/office/spreadsheetml/2010/11/main" uri="{DE250136-89BD-433C-8126-D09CA5730AF9}">
        <x15:connection id="278a8c0c-efcf-4c75-aa67-d5bc9f2749ea"/>
      </ext>
    </extLst>
  </connection>
  <connection id="2" xr16:uid="{A7C2A441-B430-49EA-9A84-BF68CA1B4FA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ThisWorkbookDataModel"/>
    <s v="[Measures].[Total Quantity]"/>
    <s v="#,0"/>
    <s v="[Measures].[Total Revenue]"/>
    <s v="\$#,0;(\$#,0);\$#,0"/>
    <s v="[Measures].[Average Revenue]"/>
    <s v="[Measures].[Minimum Revenue]"/>
    <s v="[Measures].[Maximum Revenue]"/>
    <s v="{[product].[Product].[All]}"/>
    <s v="{[product_category].[Product_Category].[All]}"/>
    <s v="{[region].[Region].[All]}"/>
    <s v="{[sales_inventory].[Year].[All]}"/>
  </metadataStrings>
  <mdxMetadata count="5">
    <mdx n="0" f="v">
      <t c="5" si="4">
        <n x="6"/>
        <n x="8" s="1"/>
        <n x="9" s="1"/>
        <n x="10" s="1"/>
        <n x="11" s="1"/>
      </t>
    </mdx>
    <mdx n="0" f="v">
      <t c="5" si="2">
        <n x="1"/>
        <n x="8" s="1"/>
        <n x="9" s="1"/>
        <n x="10" s="1"/>
        <n x="11" s="1"/>
      </t>
    </mdx>
    <mdx n="0" f="v">
      <t c="5" si="4">
        <n x="5"/>
        <n x="8" s="1"/>
        <n x="9" s="1"/>
        <n x="10" s="1"/>
        <n x="11" s="1"/>
      </t>
    </mdx>
    <mdx n="0" f="v">
      <t c="5" si="4">
        <n x="3"/>
        <n x="8" s="1"/>
        <n x="9" s="1"/>
        <n x="10" s="1"/>
        <n x="11" s="1"/>
      </t>
    </mdx>
    <mdx n="0" f="v">
      <t c="5" si="4">
        <n x="7"/>
        <n x="8" s="1"/>
        <n x="9" s="1"/>
        <n x="10" s="1"/>
        <n x="11" s="1"/>
      </t>
    </mdx>
  </mdxMetadata>
  <valueMetadata count="5">
    <bk>
      <rc t="1" v="0"/>
    </bk>
    <bk>
      <rc t="1" v="1"/>
    </bk>
    <bk>
      <rc t="1" v="2"/>
    </bk>
    <bk>
      <rc t="1" v="3"/>
    </bk>
    <bk>
      <rc t="1" v="4"/>
    </bk>
  </valueMetadata>
</metadata>
</file>

<file path=xl/sharedStrings.xml><?xml version="1.0" encoding="utf-8"?>
<sst xmlns="http://schemas.openxmlformats.org/spreadsheetml/2006/main" count="131" uniqueCount="50">
  <si>
    <t>Arrowroot</t>
  </si>
  <si>
    <t>Banana</t>
  </si>
  <si>
    <t>Bran</t>
  </si>
  <si>
    <t>Carrot</t>
  </si>
  <si>
    <t>Chocolate Chip</t>
  </si>
  <si>
    <t>Oatmeal Raisin</t>
  </si>
  <si>
    <t>Potato Chips</t>
  </si>
  <si>
    <t>Pretzels</t>
  </si>
  <si>
    <t>Whole Wheat</t>
  </si>
  <si>
    <t>Grand Total</t>
  </si>
  <si>
    <t>Total Revenue</t>
  </si>
  <si>
    <t>Total Quantity</t>
  </si>
  <si>
    <t>East</t>
  </si>
  <si>
    <t>West</t>
  </si>
  <si>
    <t>Boston</t>
  </si>
  <si>
    <t>New York</t>
  </si>
  <si>
    <t>Los Angeles</t>
  </si>
  <si>
    <t>San Diego</t>
  </si>
  <si>
    <t>Column Labels</t>
  </si>
  <si>
    <t>April</t>
  </si>
  <si>
    <t>August</t>
  </si>
  <si>
    <t>December</t>
  </si>
  <si>
    <t>February</t>
  </si>
  <si>
    <t>January</t>
  </si>
  <si>
    <t>July</t>
  </si>
  <si>
    <t>June</t>
  </si>
  <si>
    <t>March</t>
  </si>
  <si>
    <t>May</t>
  </si>
  <si>
    <t>November</t>
  </si>
  <si>
    <t>October</t>
  </si>
  <si>
    <t>September</t>
  </si>
  <si>
    <t>Products</t>
  </si>
  <si>
    <t>BOTTOM PERFORMING PRODUCTS</t>
  </si>
  <si>
    <t>TOTAL SALES BY REGION</t>
  </si>
  <si>
    <t xml:space="preserve"> Region</t>
  </si>
  <si>
    <t>Product</t>
  </si>
  <si>
    <t>Year</t>
  </si>
  <si>
    <t>YEARLY TREND SALES</t>
  </si>
  <si>
    <t>TOTAL QUANTITY SALES</t>
  </si>
  <si>
    <t>TOTAL REVENUE SALES</t>
  </si>
  <si>
    <t>Key Performance Indicators</t>
  </si>
  <si>
    <t>Average Revenue</t>
  </si>
  <si>
    <t>Minimum Revenue</t>
  </si>
  <si>
    <t>Maximum Revenue</t>
  </si>
  <si>
    <t>YEARLY TOTAL REVENUE SALES</t>
  </si>
  <si>
    <t>SALES PERFORMANCE DASHBOARD</t>
  </si>
  <si>
    <t>Month</t>
  </si>
  <si>
    <t>MONTHLY SALES TREND</t>
  </si>
  <si>
    <t>TOTAL PRODUCT QUANTITY SALES BY STATE</t>
  </si>
  <si>
    <t>TOTAL PRODUCT REVENUE 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</si>
</sst>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0\);\$#,##0"/>
    <numFmt numFmtId="165" formatCode="[$-409]mmmmm;@"/>
    <numFmt numFmtId="166" formatCode="&quot;$&quot;#,##0"/>
  </numFmts>
  <fonts count="6">
    <font>
      <sz val="11"/>
      <color theme="1"/>
      <name val="Aptos Narrow"/>
      <family val="2"/>
      <scheme val="minor"/>
    </font>
    <font>
      <b/>
      <sz val="11"/>
      <color theme="1"/>
      <name val="Aptos Narrow"/>
      <family val="2"/>
      <scheme val="minor"/>
    </font>
    <font>
      <sz val="11"/>
      <color theme="1" tint="4.9989318521683403E-2"/>
      <name val="Aptos Narrow"/>
      <family val="2"/>
      <scheme val="minor"/>
    </font>
    <font>
      <b/>
      <sz val="24"/>
      <color theme="1"/>
      <name val="Noto"/>
    </font>
    <font>
      <sz val="24"/>
      <color theme="1"/>
      <name val="Noto"/>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pivotButton="1" applyNumberFormat="1"/>
    <xf numFmtId="0" fontId="0" fillId="2" borderId="0" xfId="0" applyFont="1" applyFill="1"/>
    <xf numFmtId="0" fontId="2" fillId="0" borderId="1" xfId="0" applyFont="1" applyBorder="1"/>
    <xf numFmtId="41" fontId="0" fillId="0" borderId="1" xfId="1" applyNumberFormat="1" applyFont="1" applyBorder="1"/>
    <xf numFmtId="166" fontId="0" fillId="0" borderId="1" xfId="0" applyNumberFormat="1" applyBorder="1"/>
    <xf numFmtId="0" fontId="1" fillId="0" borderId="0" xfId="0" applyFont="1" applyAlignment="1"/>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3" fillId="2" borderId="0" xfId="0" applyFont="1" applyFill="1" applyAlignment="1">
      <alignment horizontal="center" vertical="top"/>
    </xf>
    <xf numFmtId="0" fontId="4" fillId="2" borderId="0" xfId="0" applyFont="1" applyFill="1" applyAlignment="1">
      <alignment horizontal="center" vertical="top"/>
    </xf>
  </cellXfs>
  <cellStyles count="2">
    <cellStyle name="Comma" xfId="1" builtinId="3"/>
    <cellStyle name="Normal" xfId="0" builtinId="0"/>
  </cellStyles>
  <dxfs count="1">
    <dxf>
      <numFmt numFmtId="165" formatCode="[$-409]mmmmm;@"/>
    </dxf>
  </dxfs>
  <tableStyles count="0" defaultTableStyle="TableStyleMedium2" defaultPivotStyle="PivotStyleLight16"/>
  <colors>
    <mruColors>
      <color rgb="FF91331D"/>
      <color rgb="FF9AC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4" s="2"/>
        <tr r="C4" s="2"/>
        <tr r="C4" s="2"/>
        <tr r="C4" s="2"/>
        <tr r="C4" s="2"/>
        <tr r="C3" s="2"/>
        <tr r="C3" s="2"/>
        <tr r="C3" s="2"/>
        <tr r="C3" s="2"/>
        <tr r="C3" s="2"/>
        <tr r="C5" s="2"/>
        <tr r="C5" s="2"/>
        <tr r="C5" s="2"/>
        <tr r="C5" s="2"/>
        <tr r="C5" s="2"/>
        <tr r="C6" s="2"/>
        <tr r="C6" s="2"/>
        <tr r="C6" s="2"/>
        <tr r="C6" s="2"/>
        <tr r="C6" s="2"/>
        <tr r="C2" s="2"/>
        <tr r="C2" s="2"/>
        <tr r="C2" s="2"/>
        <tr r="C2" s="2"/>
        <tr r="C2" s="2"/>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volatileDependencies" Target="volatileDependencies.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4.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Dashboard).xlsx]Pivot_Table!PivotTable12</c:name>
    <c:fmtId val="27"/>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Monthly</a:t>
            </a:r>
            <a:r>
              <a:rPr lang="en-US" sz="900" b="1" baseline="0">
                <a:solidFill>
                  <a:schemeClr val="tx1"/>
                </a:solidFill>
              </a:rPr>
              <a:t> Sales Trend</a:t>
            </a:r>
          </a:p>
        </c:rich>
      </c:tx>
      <c:layout>
        <c:manualLayout>
          <c:xMode val="edge"/>
          <c:yMode val="edge"/>
          <c:x val="0.35705823432848272"/>
          <c:y val="1.4814814814814815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2700" cap="rnd">
            <a:solidFill>
              <a:srgbClr val="9ACEE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rgbClr val="91331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rgbClr val="9ACEE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91331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2700" cap="rnd">
            <a:solidFill>
              <a:srgbClr val="9ACEE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91331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2803483486826"/>
          <c:y val="0.15544473607465731"/>
          <c:w val="0.84470270721460172"/>
          <c:h val="0.45829512977544473"/>
        </c:manualLayout>
      </c:layout>
      <c:lineChart>
        <c:grouping val="stacked"/>
        <c:varyColors val="0"/>
        <c:ser>
          <c:idx val="0"/>
          <c:order val="0"/>
          <c:tx>
            <c:strRef>
              <c:f>Pivot_Table!$F$2</c:f>
              <c:strCache>
                <c:ptCount val="1"/>
                <c:pt idx="0">
                  <c:v>Total Revenue</c:v>
                </c:pt>
              </c:strCache>
            </c:strRef>
          </c:tx>
          <c:spPr>
            <a:ln w="12700" cap="rnd">
              <a:solidFill>
                <a:srgbClr val="9ACEEE"/>
              </a:solidFill>
              <a:round/>
            </a:ln>
            <a:effectLst/>
          </c:spPr>
          <c:marker>
            <c:symbol val="none"/>
          </c:marker>
          <c:cat>
            <c:strRef>
              <c:f>Pivot_Table!$E$3:$E$15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Pivot_Table!$F$3:$F$15</c:f>
              <c:numCache>
                <c:formatCode>\$#,##0;\(\$#,##0\);\$#,##0</c:formatCode>
                <c:ptCount val="12"/>
                <c:pt idx="0">
                  <c:v>2941.1099999999997</c:v>
                </c:pt>
                <c:pt idx="1">
                  <c:v>2051.46</c:v>
                </c:pt>
                <c:pt idx="2">
                  <c:v>3052.5500000000006</c:v>
                </c:pt>
                <c:pt idx="3">
                  <c:v>2588.7599999999998</c:v>
                </c:pt>
                <c:pt idx="4">
                  <c:v>2634.41</c:v>
                </c:pt>
                <c:pt idx="5">
                  <c:v>3428.2299999999991</c:v>
                </c:pt>
                <c:pt idx="6">
                  <c:v>2112.52</c:v>
                </c:pt>
                <c:pt idx="7">
                  <c:v>2705.94</c:v>
                </c:pt>
                <c:pt idx="8">
                  <c:v>2349.7199999999998</c:v>
                </c:pt>
                <c:pt idx="9">
                  <c:v>3045.78</c:v>
                </c:pt>
                <c:pt idx="10">
                  <c:v>3290.8600000000006</c:v>
                </c:pt>
                <c:pt idx="11">
                  <c:v>3124.2400000000002</c:v>
                </c:pt>
              </c:numCache>
            </c:numRef>
          </c:val>
          <c:smooth val="0"/>
          <c:extLst>
            <c:ext xmlns:c16="http://schemas.microsoft.com/office/drawing/2014/chart" uri="{C3380CC4-5D6E-409C-BE32-E72D297353CC}">
              <c16:uniqueId val="{00000000-C807-4124-9FCC-A48B67F89781}"/>
            </c:ext>
          </c:extLst>
        </c:ser>
        <c:ser>
          <c:idx val="1"/>
          <c:order val="1"/>
          <c:tx>
            <c:strRef>
              <c:f>Pivot_Table!$G$2</c:f>
              <c:strCache>
                <c:ptCount val="1"/>
                <c:pt idx="0">
                  <c:v>Total Quantity</c:v>
                </c:pt>
              </c:strCache>
            </c:strRef>
          </c:tx>
          <c:spPr>
            <a:ln w="12700" cap="rnd">
              <a:solidFill>
                <a:srgbClr val="91331D"/>
              </a:solidFill>
              <a:round/>
            </a:ln>
            <a:effectLst/>
          </c:spPr>
          <c:marker>
            <c:symbol val="none"/>
          </c:marker>
          <c:cat>
            <c:strRef>
              <c:f>Pivot_Table!$E$3:$E$15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Pivot_Table!$G$3:$G$15</c:f>
              <c:numCache>
                <c:formatCode>#,##0</c:formatCode>
                <c:ptCount val="12"/>
                <c:pt idx="0">
                  <c:v>1289</c:v>
                </c:pt>
                <c:pt idx="1">
                  <c:v>955</c:v>
                </c:pt>
                <c:pt idx="2">
                  <c:v>1433</c:v>
                </c:pt>
                <c:pt idx="3">
                  <c:v>1270</c:v>
                </c:pt>
                <c:pt idx="4">
                  <c:v>1227</c:v>
                </c:pt>
                <c:pt idx="5">
                  <c:v>1498</c:v>
                </c:pt>
                <c:pt idx="6">
                  <c:v>988</c:v>
                </c:pt>
                <c:pt idx="7">
                  <c:v>1251</c:v>
                </c:pt>
                <c:pt idx="8">
                  <c:v>1110</c:v>
                </c:pt>
                <c:pt idx="9">
                  <c:v>1426</c:v>
                </c:pt>
                <c:pt idx="10">
                  <c:v>1578</c:v>
                </c:pt>
                <c:pt idx="11">
                  <c:v>1417</c:v>
                </c:pt>
              </c:numCache>
            </c:numRef>
          </c:val>
          <c:smooth val="0"/>
          <c:extLst>
            <c:ext xmlns:c16="http://schemas.microsoft.com/office/drawing/2014/chart" uri="{C3380CC4-5D6E-409C-BE32-E72D297353CC}">
              <c16:uniqueId val="{00000001-C807-4124-9FCC-A48B67F89781}"/>
            </c:ext>
          </c:extLst>
        </c:ser>
        <c:dLbls>
          <c:showLegendKey val="0"/>
          <c:showVal val="0"/>
          <c:showCatName val="0"/>
          <c:showSerName val="0"/>
          <c:showPercent val="0"/>
          <c:showBubbleSize val="0"/>
        </c:dLbls>
        <c:smooth val="0"/>
        <c:axId val="1570551888"/>
        <c:axId val="1570562928"/>
      </c:lineChart>
      <c:dateAx>
        <c:axId val="157055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570562928"/>
        <c:crosses val="autoZero"/>
        <c:auto val="0"/>
        <c:lblOffset val="100"/>
        <c:baseTimeUnit val="days"/>
      </c:dateAx>
      <c:valAx>
        <c:axId val="1570562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570551888"/>
        <c:crosses val="autoZero"/>
        <c:crossBetween val="between"/>
      </c:valAx>
      <c:spPr>
        <a:noFill/>
        <a:ln w="25400">
          <a:noFill/>
        </a:ln>
        <a:effectLst/>
      </c:spPr>
    </c:plotArea>
    <c:legend>
      <c:legendPos val="b"/>
      <c:layout>
        <c:manualLayout>
          <c:xMode val="edge"/>
          <c:yMode val="edge"/>
          <c:x val="0.20663448429370354"/>
          <c:y val="0.86759171770195387"/>
          <c:w val="0.53726106674828189"/>
          <c:h val="0.1324082822980460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Dashboard).xlsx]Pivot_Table!PivotTable6</c:name>
    <c:fmtId val="6"/>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baseline="0">
                <a:solidFill>
                  <a:schemeClr val="tx1"/>
                </a:solidFill>
              </a:rPr>
              <a:t>Product Quantity Sales Trend By State</a:t>
            </a:r>
            <a:endParaRPr lang="en-US" sz="900" b="1">
              <a:solidFill>
                <a:schemeClr val="tx1"/>
              </a:solidFill>
            </a:endParaRPr>
          </a:p>
        </c:rich>
      </c:tx>
      <c:layout>
        <c:manualLayout>
          <c:xMode val="edge"/>
          <c:yMode val="edge"/>
          <c:x val="0.2219368969723855"/>
          <c:y val="1.4869641294838148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3093046467785"/>
          <c:y val="0.17668011463231406"/>
          <c:w val="0.88474187645558389"/>
          <c:h val="0.50468712612336886"/>
        </c:manualLayout>
      </c:layout>
      <c:barChart>
        <c:barDir val="col"/>
        <c:grouping val="clustered"/>
        <c:varyColors val="0"/>
        <c:ser>
          <c:idx val="0"/>
          <c:order val="0"/>
          <c:tx>
            <c:strRef>
              <c:f>Pivot_Table!$J$2:$J$3</c:f>
              <c:strCache>
                <c:ptCount val="1"/>
                <c:pt idx="0">
                  <c:v>Boston</c:v>
                </c:pt>
              </c:strCache>
            </c:strRef>
          </c:tx>
          <c:spPr>
            <a:solidFill>
              <a:srgbClr val="9ACEEE"/>
            </a:solidFill>
            <a:ln>
              <a:solidFill>
                <a:srgbClr val="9ACEEE"/>
              </a:solidFill>
            </a:ln>
            <a:effectLst/>
          </c:spPr>
          <c:invertIfNegative val="0"/>
          <c:cat>
            <c:strRef>
              <c:f>Pivot_Table!$I$4:$I$13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Pivot_Table!$J$4:$J$13</c:f>
              <c:numCache>
                <c:formatCode>#,##0</c:formatCode>
                <c:ptCount val="9"/>
                <c:pt idx="0">
                  <c:v>880</c:v>
                </c:pt>
                <c:pt idx="1">
                  <c:v>79</c:v>
                </c:pt>
                <c:pt idx="2">
                  <c:v>467</c:v>
                </c:pt>
                <c:pt idx="3">
                  <c:v>1281</c:v>
                </c:pt>
                <c:pt idx="4">
                  <c:v>642</c:v>
                </c:pt>
                <c:pt idx="5">
                  <c:v>1184</c:v>
                </c:pt>
                <c:pt idx="6">
                  <c:v>205</c:v>
                </c:pt>
                <c:pt idx="7">
                  <c:v>186</c:v>
                </c:pt>
                <c:pt idx="8">
                  <c:v>726</c:v>
                </c:pt>
              </c:numCache>
            </c:numRef>
          </c:val>
          <c:extLst>
            <c:ext xmlns:c16="http://schemas.microsoft.com/office/drawing/2014/chart" uri="{C3380CC4-5D6E-409C-BE32-E72D297353CC}">
              <c16:uniqueId val="{00000000-DEF6-4113-84B7-0B159C7FD421}"/>
            </c:ext>
          </c:extLst>
        </c:ser>
        <c:ser>
          <c:idx val="1"/>
          <c:order val="1"/>
          <c:tx>
            <c:strRef>
              <c:f>Pivot_Table!$K$2:$K$3</c:f>
              <c:strCache>
                <c:ptCount val="1"/>
                <c:pt idx="0">
                  <c:v>Los Angeles</c:v>
                </c:pt>
              </c:strCache>
            </c:strRef>
          </c:tx>
          <c:spPr>
            <a:solidFill>
              <a:srgbClr val="91331D"/>
            </a:solidFill>
            <a:ln>
              <a:solidFill>
                <a:srgbClr val="91331D"/>
              </a:solidFill>
            </a:ln>
            <a:effectLst/>
          </c:spPr>
          <c:invertIfNegative val="0"/>
          <c:cat>
            <c:strRef>
              <c:f>Pivot_Table!$I$4:$I$13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Pivot_Table!$K$4:$K$13</c:f>
              <c:numCache>
                <c:formatCode>#,##0</c:formatCode>
                <c:ptCount val="9"/>
                <c:pt idx="0">
                  <c:v>185</c:v>
                </c:pt>
                <c:pt idx="2">
                  <c:v>349</c:v>
                </c:pt>
                <c:pt idx="3">
                  <c:v>1262</c:v>
                </c:pt>
                <c:pt idx="4">
                  <c:v>837</c:v>
                </c:pt>
                <c:pt idx="5">
                  <c:v>731</c:v>
                </c:pt>
                <c:pt idx="6">
                  <c:v>363</c:v>
                </c:pt>
                <c:pt idx="8">
                  <c:v>42</c:v>
                </c:pt>
              </c:numCache>
            </c:numRef>
          </c:val>
          <c:extLst>
            <c:ext xmlns:c16="http://schemas.microsoft.com/office/drawing/2014/chart" uri="{C3380CC4-5D6E-409C-BE32-E72D297353CC}">
              <c16:uniqueId val="{00000001-0646-43D7-BEFB-900741339097}"/>
            </c:ext>
          </c:extLst>
        </c:ser>
        <c:ser>
          <c:idx val="2"/>
          <c:order val="2"/>
          <c:tx>
            <c:strRef>
              <c:f>Pivot_Table!$L$2:$L$3</c:f>
              <c:strCache>
                <c:ptCount val="1"/>
                <c:pt idx="0">
                  <c:v>New York</c:v>
                </c:pt>
              </c:strCache>
            </c:strRef>
          </c:tx>
          <c:spPr>
            <a:solidFill>
              <a:srgbClr val="002060"/>
            </a:solidFill>
            <a:ln>
              <a:solidFill>
                <a:srgbClr val="002060"/>
              </a:solidFill>
            </a:ln>
            <a:effectLst/>
          </c:spPr>
          <c:invertIfNegative val="0"/>
          <c:cat>
            <c:strRef>
              <c:f>Pivot_Table!$I$4:$I$13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Pivot_Table!$L$4:$L$13</c:f>
              <c:numCache>
                <c:formatCode>#,##0</c:formatCode>
                <c:ptCount val="9"/>
                <c:pt idx="0">
                  <c:v>929</c:v>
                </c:pt>
                <c:pt idx="2">
                  <c:v>563</c:v>
                </c:pt>
                <c:pt idx="3">
                  <c:v>1120</c:v>
                </c:pt>
                <c:pt idx="4">
                  <c:v>470</c:v>
                </c:pt>
                <c:pt idx="5">
                  <c:v>457</c:v>
                </c:pt>
                <c:pt idx="6">
                  <c:v>326</c:v>
                </c:pt>
                <c:pt idx="8">
                  <c:v>141</c:v>
                </c:pt>
              </c:numCache>
            </c:numRef>
          </c:val>
          <c:extLst>
            <c:ext xmlns:c16="http://schemas.microsoft.com/office/drawing/2014/chart" uri="{C3380CC4-5D6E-409C-BE32-E72D297353CC}">
              <c16:uniqueId val="{00000003-EE56-4068-80DF-5A390C553951}"/>
            </c:ext>
          </c:extLst>
        </c:ser>
        <c:ser>
          <c:idx val="3"/>
          <c:order val="3"/>
          <c:tx>
            <c:strRef>
              <c:f>Pivot_Table!$M$2:$M$3</c:f>
              <c:strCache>
                <c:ptCount val="1"/>
                <c:pt idx="0">
                  <c:v>San Diego</c:v>
                </c:pt>
              </c:strCache>
            </c:strRef>
          </c:tx>
          <c:spPr>
            <a:solidFill>
              <a:srgbClr val="FFC000"/>
            </a:solidFill>
            <a:ln>
              <a:solidFill>
                <a:srgbClr val="FFC000"/>
              </a:solidFill>
            </a:ln>
            <a:effectLst/>
          </c:spPr>
          <c:invertIfNegative val="0"/>
          <c:cat>
            <c:strRef>
              <c:f>Pivot_Table!$I$4:$I$13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Pivot_Table!$M$4:$M$13</c:f>
              <c:numCache>
                <c:formatCode>#,##0</c:formatCode>
                <c:ptCount val="9"/>
                <c:pt idx="0">
                  <c:v>451</c:v>
                </c:pt>
                <c:pt idx="2">
                  <c:v>196</c:v>
                </c:pt>
                <c:pt idx="3">
                  <c:v>524</c:v>
                </c:pt>
                <c:pt idx="4">
                  <c:v>496</c:v>
                </c:pt>
                <c:pt idx="5">
                  <c:v>202</c:v>
                </c:pt>
                <c:pt idx="6">
                  <c:v>100</c:v>
                </c:pt>
                <c:pt idx="8">
                  <c:v>48</c:v>
                </c:pt>
              </c:numCache>
            </c:numRef>
          </c:val>
          <c:extLst>
            <c:ext xmlns:c16="http://schemas.microsoft.com/office/drawing/2014/chart" uri="{C3380CC4-5D6E-409C-BE32-E72D297353CC}">
              <c16:uniqueId val="{00000004-EE56-4068-80DF-5A390C553951}"/>
            </c:ext>
          </c:extLst>
        </c:ser>
        <c:dLbls>
          <c:showLegendKey val="0"/>
          <c:showVal val="0"/>
          <c:showCatName val="0"/>
          <c:showSerName val="0"/>
          <c:showPercent val="0"/>
          <c:showBubbleSize val="0"/>
        </c:dLbls>
        <c:gapWidth val="219"/>
        <c:overlap val="-27"/>
        <c:axId val="1791117872"/>
        <c:axId val="1791113552"/>
      </c:barChart>
      <c:catAx>
        <c:axId val="179111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791113552"/>
        <c:crosses val="autoZero"/>
        <c:auto val="1"/>
        <c:lblAlgn val="ctr"/>
        <c:lblOffset val="100"/>
        <c:noMultiLvlLbl val="0"/>
      </c:catAx>
      <c:valAx>
        <c:axId val="17911135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791117872"/>
        <c:crosses val="autoZero"/>
        <c:crossBetween val="between"/>
      </c:valAx>
      <c:spPr>
        <a:noFill/>
        <a:ln>
          <a:noFill/>
        </a:ln>
        <a:effectLst>
          <a:softEdge rad="0"/>
        </a:effectLst>
      </c:spPr>
    </c:plotArea>
    <c:legend>
      <c:legendPos val="r"/>
      <c:layout>
        <c:manualLayout>
          <c:xMode val="edge"/>
          <c:yMode val="edge"/>
          <c:x val="0.86724021293113007"/>
          <c:y val="1.887314085739282E-2"/>
          <c:w val="0.1327597870688699"/>
          <c:h val="0.1943707743245875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Dashboard).xlsx]Pivot_Table!PivotTable7</c:name>
    <c:fmtId val="14"/>
  </c:pivotSource>
  <c:chart>
    <c:title>
      <c:tx>
        <c:rich>
          <a:bodyPr rot="0" spcFirstLastPara="1" vertOverflow="ellipsis" vert="horz" wrap="square" anchor="ctr" anchorCtr="1"/>
          <a:lstStyle/>
          <a:p>
            <a:pPr algn="ctr">
              <a:defRPr sz="900" b="1" i="0" u="none" strike="noStrike" kern="1200" spc="0" baseline="0">
                <a:solidFill>
                  <a:schemeClr val="tx1"/>
                </a:solidFill>
                <a:latin typeface="+mn-lt"/>
                <a:ea typeface="+mn-ea"/>
                <a:cs typeface="+mn-cs"/>
              </a:defRPr>
            </a:pPr>
            <a:r>
              <a:rPr lang="en-US" sz="900" b="1">
                <a:solidFill>
                  <a:schemeClr val="tx1"/>
                </a:solidFill>
              </a:rPr>
              <a:t>Total</a:t>
            </a:r>
            <a:r>
              <a:rPr lang="en-US" sz="900" b="1" baseline="0">
                <a:solidFill>
                  <a:schemeClr val="tx1"/>
                </a:solidFill>
              </a:rPr>
              <a:t> Revenue Sales By Region</a:t>
            </a:r>
            <a:endParaRPr lang="en-US" sz="900" b="1">
              <a:solidFill>
                <a:schemeClr val="tx1"/>
              </a:solidFill>
            </a:endParaRPr>
          </a:p>
        </c:rich>
      </c:tx>
      <c:layout>
        <c:manualLayout>
          <c:xMode val="edge"/>
          <c:yMode val="edge"/>
          <c:x val="0.28833449264071676"/>
          <c:y val="0"/>
        </c:manualLayout>
      </c:layout>
      <c:overlay val="0"/>
      <c:spPr>
        <a:noFill/>
        <a:ln>
          <a:noFill/>
        </a:ln>
        <a:effectLst/>
      </c:spPr>
      <c:txPr>
        <a:bodyPr rot="0" spcFirstLastPara="1" vertOverflow="ellipsis" vert="horz" wrap="square" anchor="ctr" anchorCtr="1"/>
        <a:lstStyle/>
        <a:p>
          <a:pPr algn="ct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1331D"/>
          </a:solidFill>
          <a:ln>
            <a:noFill/>
          </a:ln>
          <a:effectLst/>
        </c:spPr>
        <c:dLbl>
          <c:idx val="0"/>
          <c:layout>
            <c:manualLayout>
              <c:x val="0.17980686789151357"/>
              <c:y val="8.034521726450860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CEEE"/>
          </a:solidFill>
          <a:ln>
            <a:noFill/>
          </a:ln>
          <a:effectLst/>
        </c:spPr>
        <c:dLbl>
          <c:idx val="0"/>
          <c:layout>
            <c:manualLayout>
              <c:x val="-0.17980686789151357"/>
              <c:y val="-7.108595800524943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ACEEE"/>
          </a:solidFill>
          <a:ln>
            <a:noFill/>
          </a:ln>
          <a:effectLst/>
        </c:spPr>
        <c:dLbl>
          <c:idx val="0"/>
          <c:layout>
            <c:manualLayout>
              <c:x val="-0.17980686789151357"/>
              <c:y val="-7.108595800524943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1331D"/>
          </a:solidFill>
          <a:ln>
            <a:noFill/>
          </a:ln>
          <a:effectLst/>
        </c:spPr>
        <c:dLbl>
          <c:idx val="0"/>
          <c:layout>
            <c:manualLayout>
              <c:x val="0.17980686789151357"/>
              <c:y val="8.034521726450860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ACEEE"/>
          </a:solidFill>
          <a:ln>
            <a:noFill/>
          </a:ln>
          <a:effectLst/>
        </c:spPr>
        <c:dLbl>
          <c:idx val="0"/>
          <c:layout>
            <c:manualLayout>
              <c:x val="6.9673416602550456E-2"/>
              <c:y val="1.7475084987070344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1331D"/>
          </a:solidFill>
          <a:ln>
            <a:noFill/>
          </a:ln>
          <a:effectLst/>
        </c:spPr>
        <c:dLbl>
          <c:idx val="0"/>
          <c:layout>
            <c:manualLayout>
              <c:x val="-6.1357408286542181E-2"/>
              <c:y val="2.1304587849028098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1331D"/>
          </a:solidFill>
          <a:ln>
            <a:solidFill>
              <a:srgbClr val="91331D"/>
            </a:solidFill>
          </a:ln>
          <a:effectLst/>
        </c:spPr>
        <c:dLbl>
          <c:idx val="0"/>
          <c:layout>
            <c:manualLayout>
              <c:x val="-0.10509334743051112"/>
              <c:y val="5.07074992009759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ACEEE"/>
          </a:solidFill>
          <a:ln>
            <a:solidFill>
              <a:srgbClr val="9ACEEE"/>
            </a:solidFill>
          </a:ln>
          <a:effectLst/>
        </c:spPr>
        <c:dLbl>
          <c:idx val="0"/>
          <c:layout>
            <c:manualLayout>
              <c:x val="0.10156005675968936"/>
              <c:y val="3.9209692884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Pivot_Table!$K$16</c:f>
              <c:strCache>
                <c:ptCount val="1"/>
                <c:pt idx="0">
                  <c:v>Total</c:v>
                </c:pt>
              </c:strCache>
            </c:strRef>
          </c:tx>
          <c:dPt>
            <c:idx val="0"/>
            <c:bubble3D val="0"/>
            <c:spPr>
              <a:solidFill>
                <a:srgbClr val="9ACEEE"/>
              </a:solidFill>
              <a:ln>
                <a:solidFill>
                  <a:srgbClr val="9ACEEE"/>
                </a:solidFill>
              </a:ln>
              <a:effectLst/>
            </c:spPr>
            <c:extLst>
              <c:ext xmlns:c16="http://schemas.microsoft.com/office/drawing/2014/chart" uri="{C3380CC4-5D6E-409C-BE32-E72D297353CC}">
                <c16:uniqueId val="{00000007-B08B-41FC-9A2A-B93EEEECB0F2}"/>
              </c:ext>
            </c:extLst>
          </c:dPt>
          <c:dPt>
            <c:idx val="1"/>
            <c:bubble3D val="0"/>
            <c:spPr>
              <a:solidFill>
                <a:srgbClr val="91331D"/>
              </a:solidFill>
              <a:ln>
                <a:solidFill>
                  <a:srgbClr val="91331D"/>
                </a:solidFill>
              </a:ln>
              <a:effectLst/>
            </c:spPr>
            <c:extLst>
              <c:ext xmlns:c16="http://schemas.microsoft.com/office/drawing/2014/chart" uri="{C3380CC4-5D6E-409C-BE32-E72D297353CC}">
                <c16:uniqueId val="{00000006-B08B-41FC-9A2A-B93EEEECB0F2}"/>
              </c:ext>
            </c:extLst>
          </c:dPt>
          <c:dLbls>
            <c:dLbl>
              <c:idx val="0"/>
              <c:layout>
                <c:manualLayout>
                  <c:x val="0.10156005675968936"/>
                  <c:y val="3.92096928843304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8B-41FC-9A2A-B93EEEECB0F2}"/>
                </c:ext>
              </c:extLst>
            </c:dLbl>
            <c:dLbl>
              <c:idx val="1"/>
              <c:layout>
                <c:manualLayout>
                  <c:x val="-0.10509334743051112"/>
                  <c:y val="5.07074992009759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8B-41FC-9A2A-B93EEEECB0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Pivot_Table!$J$17:$J$19</c:f>
              <c:strCache>
                <c:ptCount val="2"/>
                <c:pt idx="0">
                  <c:v>East</c:v>
                </c:pt>
                <c:pt idx="1">
                  <c:v>West</c:v>
                </c:pt>
              </c:strCache>
            </c:strRef>
          </c:cat>
          <c:val>
            <c:numRef>
              <c:f>Pivot_Table!$K$17:$K$19</c:f>
              <c:numCache>
                <c:formatCode>\$#,##0;\(\$#,##0\);\$#,##0</c:formatCode>
                <c:ptCount val="2"/>
                <c:pt idx="0">
                  <c:v>21524.360000000004</c:v>
                </c:pt>
                <c:pt idx="1">
                  <c:v>11801.22</c:v>
                </c:pt>
              </c:numCache>
            </c:numRef>
          </c:val>
          <c:extLst>
            <c:ext xmlns:c16="http://schemas.microsoft.com/office/drawing/2014/chart" uri="{C3380CC4-5D6E-409C-BE32-E72D297353CC}">
              <c16:uniqueId val="{00000004-B08B-41FC-9A2A-B93EEEECB0F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6595838721822976"/>
          <c:y val="0.83856001394659618"/>
          <c:w val="0.17720597646142289"/>
          <c:h val="0.1067117994014585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Dashboard).xlsx]Pivot_Table!PivotTable2</c:name>
    <c:fmtId val="13"/>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Product</a:t>
            </a:r>
            <a:r>
              <a:rPr lang="en-US" sz="900" b="1" baseline="0">
                <a:solidFill>
                  <a:schemeClr val="tx1"/>
                </a:solidFill>
              </a:rPr>
              <a:t> Revenue Sales Trend By State</a:t>
            </a:r>
            <a:endParaRPr lang="en-US" sz="900" b="1">
              <a:solidFill>
                <a:schemeClr val="tx1"/>
              </a:solidFill>
            </a:endParaRPr>
          </a:p>
        </c:rich>
      </c:tx>
      <c:layout>
        <c:manualLayout>
          <c:xMode val="edge"/>
          <c:yMode val="edge"/>
          <c:x val="0.24899279374530478"/>
          <c:y val="7.2992700729927005E-3"/>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4867344512665"/>
          <c:y val="0.19556355455568053"/>
          <c:w val="0.87472119271059146"/>
          <c:h val="0.485537120359955"/>
        </c:manualLayout>
      </c:layout>
      <c:barChart>
        <c:barDir val="col"/>
        <c:grouping val="clustered"/>
        <c:varyColors val="0"/>
        <c:ser>
          <c:idx val="0"/>
          <c:order val="0"/>
          <c:tx>
            <c:strRef>
              <c:f>Pivot_Table!$Q$2:$Q$3</c:f>
              <c:strCache>
                <c:ptCount val="1"/>
                <c:pt idx="0">
                  <c:v>Boston</c:v>
                </c:pt>
              </c:strCache>
            </c:strRef>
          </c:tx>
          <c:spPr>
            <a:solidFill>
              <a:srgbClr val="9ACEEE"/>
            </a:solidFill>
            <a:ln>
              <a:solidFill>
                <a:srgbClr val="9ACEEE"/>
              </a:solidFill>
            </a:ln>
            <a:effectLst/>
          </c:spPr>
          <c:invertIfNegative val="0"/>
          <c:cat>
            <c:strRef>
              <c:f>Pivot_Table!$P$4:$P$13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Pivot_Table!$Q$4:$Q$13</c:f>
              <c:numCache>
                <c:formatCode>\$#,##0;\(\$#,##0\);\$#,##0</c:formatCode>
                <c:ptCount val="9"/>
                <c:pt idx="0">
                  <c:v>1918.4</c:v>
                </c:pt>
                <c:pt idx="1">
                  <c:v>179.32999999999998</c:v>
                </c:pt>
                <c:pt idx="2">
                  <c:v>873.29000000000008</c:v>
                </c:pt>
                <c:pt idx="3">
                  <c:v>2267.3700000000003</c:v>
                </c:pt>
                <c:pt idx="4">
                  <c:v>1200.5400000000002</c:v>
                </c:pt>
                <c:pt idx="5">
                  <c:v>3362.5600000000004</c:v>
                </c:pt>
                <c:pt idx="6">
                  <c:v>344.4</c:v>
                </c:pt>
                <c:pt idx="7">
                  <c:v>585.9</c:v>
                </c:pt>
                <c:pt idx="8">
                  <c:v>2533.7399999999993</c:v>
                </c:pt>
              </c:numCache>
            </c:numRef>
          </c:val>
          <c:extLst>
            <c:ext xmlns:c16="http://schemas.microsoft.com/office/drawing/2014/chart" uri="{C3380CC4-5D6E-409C-BE32-E72D297353CC}">
              <c16:uniqueId val="{00000000-0E1B-4373-9ECD-063AEE1360B5}"/>
            </c:ext>
          </c:extLst>
        </c:ser>
        <c:ser>
          <c:idx val="1"/>
          <c:order val="1"/>
          <c:tx>
            <c:strRef>
              <c:f>Pivot_Table!$R$2:$R$3</c:f>
              <c:strCache>
                <c:ptCount val="1"/>
                <c:pt idx="0">
                  <c:v>Los Angeles</c:v>
                </c:pt>
              </c:strCache>
            </c:strRef>
          </c:tx>
          <c:spPr>
            <a:solidFill>
              <a:srgbClr val="91331D"/>
            </a:solidFill>
            <a:ln>
              <a:solidFill>
                <a:srgbClr val="91331D"/>
              </a:solidFill>
            </a:ln>
            <a:effectLst/>
          </c:spPr>
          <c:invertIfNegative val="0"/>
          <c:cat>
            <c:strRef>
              <c:f>Pivot_Table!$P$4:$P$13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Pivot_Table!$R$4:$R$13</c:f>
              <c:numCache>
                <c:formatCode>\$#,##0;\(\$#,##0\);\$#,##0</c:formatCode>
                <c:ptCount val="9"/>
                <c:pt idx="0">
                  <c:v>403.30000000000007</c:v>
                </c:pt>
                <c:pt idx="2">
                  <c:v>652.63</c:v>
                </c:pt>
                <c:pt idx="3">
                  <c:v>2233.7399999999998</c:v>
                </c:pt>
                <c:pt idx="4">
                  <c:v>1565.1900000000003</c:v>
                </c:pt>
                <c:pt idx="5">
                  <c:v>2076.0399999999995</c:v>
                </c:pt>
                <c:pt idx="6">
                  <c:v>609.83999999999992</c:v>
                </c:pt>
                <c:pt idx="8">
                  <c:v>146.58000000000001</c:v>
                </c:pt>
              </c:numCache>
            </c:numRef>
          </c:val>
          <c:extLst>
            <c:ext xmlns:c16="http://schemas.microsoft.com/office/drawing/2014/chart" uri="{C3380CC4-5D6E-409C-BE32-E72D297353CC}">
              <c16:uniqueId val="{00000001-151C-4A89-ADD4-D2EF418D0896}"/>
            </c:ext>
          </c:extLst>
        </c:ser>
        <c:ser>
          <c:idx val="2"/>
          <c:order val="2"/>
          <c:tx>
            <c:strRef>
              <c:f>Pivot_Table!$S$2:$S$3</c:f>
              <c:strCache>
                <c:ptCount val="1"/>
                <c:pt idx="0">
                  <c:v>New York</c:v>
                </c:pt>
              </c:strCache>
            </c:strRef>
          </c:tx>
          <c:spPr>
            <a:solidFill>
              <a:srgbClr val="002060"/>
            </a:solidFill>
            <a:ln>
              <a:solidFill>
                <a:srgbClr val="002060"/>
              </a:solidFill>
            </a:ln>
            <a:effectLst/>
          </c:spPr>
          <c:invertIfNegative val="0"/>
          <c:cat>
            <c:strRef>
              <c:f>Pivot_Table!$P$4:$P$13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Pivot_Table!$S$4:$S$13</c:f>
              <c:numCache>
                <c:formatCode>\$#,##0;\(\$#,##0\);\$#,##0</c:formatCode>
                <c:ptCount val="9"/>
                <c:pt idx="0">
                  <c:v>2025.2200000000003</c:v>
                </c:pt>
                <c:pt idx="2">
                  <c:v>1052.81</c:v>
                </c:pt>
                <c:pt idx="3">
                  <c:v>1982.4</c:v>
                </c:pt>
                <c:pt idx="4">
                  <c:v>878.9</c:v>
                </c:pt>
                <c:pt idx="5">
                  <c:v>1297.8799999999999</c:v>
                </c:pt>
                <c:pt idx="6">
                  <c:v>529.53</c:v>
                </c:pt>
                <c:pt idx="8">
                  <c:v>492.09000000000003</c:v>
                </c:pt>
              </c:numCache>
            </c:numRef>
          </c:val>
          <c:extLst>
            <c:ext xmlns:c16="http://schemas.microsoft.com/office/drawing/2014/chart" uri="{C3380CC4-5D6E-409C-BE32-E72D297353CC}">
              <c16:uniqueId val="{00000003-F0F9-4DBA-9FCF-B648EF0FBF1B}"/>
            </c:ext>
          </c:extLst>
        </c:ser>
        <c:ser>
          <c:idx val="3"/>
          <c:order val="3"/>
          <c:tx>
            <c:strRef>
              <c:f>Pivot_Table!$T$2:$T$3</c:f>
              <c:strCache>
                <c:ptCount val="1"/>
                <c:pt idx="0">
                  <c:v>San Diego</c:v>
                </c:pt>
              </c:strCache>
            </c:strRef>
          </c:tx>
          <c:spPr>
            <a:solidFill>
              <a:srgbClr val="FFC000"/>
            </a:solidFill>
            <a:ln>
              <a:solidFill>
                <a:srgbClr val="FFC000"/>
              </a:solidFill>
            </a:ln>
            <a:effectLst/>
          </c:spPr>
          <c:invertIfNegative val="0"/>
          <c:cat>
            <c:strRef>
              <c:f>Pivot_Table!$P$4:$P$13</c:f>
              <c:strCache>
                <c:ptCount val="9"/>
                <c:pt idx="0">
                  <c:v>Arrowroot</c:v>
                </c:pt>
                <c:pt idx="1">
                  <c:v>Banana</c:v>
                </c:pt>
                <c:pt idx="2">
                  <c:v>Bran</c:v>
                </c:pt>
                <c:pt idx="3">
                  <c:v>Carrot</c:v>
                </c:pt>
                <c:pt idx="4">
                  <c:v>Chocolate Chip</c:v>
                </c:pt>
                <c:pt idx="5">
                  <c:v>Oatmeal Raisin</c:v>
                </c:pt>
                <c:pt idx="6">
                  <c:v>Potato Chips</c:v>
                </c:pt>
                <c:pt idx="7">
                  <c:v>Pretzels</c:v>
                </c:pt>
                <c:pt idx="8">
                  <c:v>Whole Wheat</c:v>
                </c:pt>
              </c:strCache>
            </c:strRef>
          </c:cat>
          <c:val>
            <c:numRef>
              <c:f>Pivot_Table!$T$4:$T$13</c:f>
              <c:numCache>
                <c:formatCode>\$#,##0;\(\$#,##0\);\$#,##0</c:formatCode>
                <c:ptCount val="9"/>
                <c:pt idx="0">
                  <c:v>983.18000000000018</c:v>
                </c:pt>
                <c:pt idx="2">
                  <c:v>366.52000000000004</c:v>
                </c:pt>
                <c:pt idx="3">
                  <c:v>927.48000000000013</c:v>
                </c:pt>
                <c:pt idx="4">
                  <c:v>927.52</c:v>
                </c:pt>
                <c:pt idx="5">
                  <c:v>573.67999999999995</c:v>
                </c:pt>
                <c:pt idx="6">
                  <c:v>168</c:v>
                </c:pt>
                <c:pt idx="8">
                  <c:v>167.52</c:v>
                </c:pt>
              </c:numCache>
            </c:numRef>
          </c:val>
          <c:extLst>
            <c:ext xmlns:c16="http://schemas.microsoft.com/office/drawing/2014/chart" uri="{C3380CC4-5D6E-409C-BE32-E72D297353CC}">
              <c16:uniqueId val="{00000004-F0F9-4DBA-9FCF-B648EF0FBF1B}"/>
            </c:ext>
          </c:extLst>
        </c:ser>
        <c:dLbls>
          <c:showLegendKey val="0"/>
          <c:showVal val="0"/>
          <c:showCatName val="0"/>
          <c:showSerName val="0"/>
          <c:showPercent val="0"/>
          <c:showBubbleSize val="0"/>
        </c:dLbls>
        <c:gapWidth val="219"/>
        <c:overlap val="-27"/>
        <c:axId val="1659851520"/>
        <c:axId val="1659823680"/>
      </c:barChart>
      <c:catAx>
        <c:axId val="16598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659823680"/>
        <c:crosses val="autoZero"/>
        <c:auto val="1"/>
        <c:lblAlgn val="ctr"/>
        <c:lblOffset val="100"/>
        <c:noMultiLvlLbl val="0"/>
      </c:catAx>
      <c:valAx>
        <c:axId val="1659823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659851520"/>
        <c:crosses val="autoZero"/>
        <c:crossBetween val="between"/>
      </c:valAx>
      <c:spPr>
        <a:noFill/>
        <a:ln>
          <a:noFill/>
        </a:ln>
        <a:effectLst/>
      </c:spPr>
    </c:plotArea>
    <c:legend>
      <c:legendPos val="r"/>
      <c:layout>
        <c:manualLayout>
          <c:xMode val="edge"/>
          <c:yMode val="edge"/>
          <c:x val="0.8602940930970201"/>
          <c:y val="1.277199839071208E-2"/>
          <c:w val="0.13970601809764899"/>
          <c:h val="0.1893104611923509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Dashboard).xlsx]Pivot_Table!PivotTable3</c:name>
    <c:fmtId val="8"/>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a:solidFill>
                  <a:schemeClr val="tx1"/>
                </a:solidFill>
              </a:rPr>
              <a:t>Bottom</a:t>
            </a:r>
            <a:r>
              <a:rPr lang="en-US" sz="900" b="1" baseline="0">
                <a:solidFill>
                  <a:schemeClr val="tx1"/>
                </a:solidFill>
              </a:rPr>
              <a:t> Performing Products</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1331D"/>
          </a:solidFill>
          <a:ln>
            <a:solidFill>
              <a:srgbClr val="91331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44011603812683"/>
          <c:y val="0.22685015290519878"/>
          <c:w val="0.70068503937007864"/>
          <c:h val="0.7058715596330275"/>
        </c:manualLayout>
      </c:layout>
      <c:barChart>
        <c:barDir val="bar"/>
        <c:grouping val="clustered"/>
        <c:varyColors val="0"/>
        <c:ser>
          <c:idx val="0"/>
          <c:order val="0"/>
          <c:tx>
            <c:strRef>
              <c:f>Pivot_Table!$B$10</c:f>
              <c:strCache>
                <c:ptCount val="1"/>
                <c:pt idx="0">
                  <c:v>Total</c:v>
                </c:pt>
              </c:strCache>
            </c:strRef>
          </c:tx>
          <c:spPr>
            <a:solidFill>
              <a:srgbClr val="91331D"/>
            </a:solidFill>
            <a:ln>
              <a:solidFill>
                <a:srgbClr val="91331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Banana</c:v>
                </c:pt>
                <c:pt idx="1">
                  <c:v>Pretzels</c:v>
                </c:pt>
                <c:pt idx="2">
                  <c:v>Potato Chips</c:v>
                </c:pt>
                <c:pt idx="3">
                  <c:v>Bran</c:v>
                </c:pt>
                <c:pt idx="4">
                  <c:v>Whole Wheat</c:v>
                </c:pt>
              </c:strCache>
            </c:strRef>
          </c:cat>
          <c:val>
            <c:numRef>
              <c:f>Pivot_Table!$B$11:$B$16</c:f>
              <c:numCache>
                <c:formatCode>\$#,##0;\(\$#,##0\);\$#,##0</c:formatCode>
                <c:ptCount val="5"/>
                <c:pt idx="0">
                  <c:v>179.32999999999998</c:v>
                </c:pt>
                <c:pt idx="1">
                  <c:v>585.9</c:v>
                </c:pt>
                <c:pt idx="2">
                  <c:v>1651.7699999999998</c:v>
                </c:pt>
                <c:pt idx="3">
                  <c:v>2945.25</c:v>
                </c:pt>
                <c:pt idx="4">
                  <c:v>3339.93</c:v>
                </c:pt>
              </c:numCache>
            </c:numRef>
          </c:val>
          <c:extLst>
            <c:ext xmlns:c16="http://schemas.microsoft.com/office/drawing/2014/chart" uri="{C3380CC4-5D6E-409C-BE32-E72D297353CC}">
              <c16:uniqueId val="{00000000-7723-4DFE-BAE1-6DAA70AA05C5}"/>
            </c:ext>
          </c:extLst>
        </c:ser>
        <c:dLbls>
          <c:dLblPos val="outEnd"/>
          <c:showLegendKey val="0"/>
          <c:showVal val="1"/>
          <c:showCatName val="0"/>
          <c:showSerName val="0"/>
          <c:showPercent val="0"/>
          <c:showBubbleSize val="0"/>
        </c:dLbls>
        <c:gapWidth val="219"/>
        <c:axId val="2003582640"/>
        <c:axId val="2003598000"/>
      </c:barChart>
      <c:dateAx>
        <c:axId val="200358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2003598000"/>
        <c:crosses val="autoZero"/>
        <c:auto val="0"/>
        <c:lblOffset val="100"/>
        <c:baseTimeUnit val="days"/>
      </c:dateAx>
      <c:valAx>
        <c:axId val="2003598000"/>
        <c:scaling>
          <c:orientation val="minMax"/>
        </c:scaling>
        <c:delete val="1"/>
        <c:axPos val="b"/>
        <c:numFmt formatCode="\$#,##0;\(\$#,##0\);\$#,##0" sourceLinked="1"/>
        <c:majorTickMark val="none"/>
        <c:minorTickMark val="none"/>
        <c:tickLblPos val="nextTo"/>
        <c:crossAx val="200358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[NutriBite Foods Excel Sales Inventory Project (Power Pivot &amp; Dashboard).xlsx]Pivot_Table!PivotTable1</c:name>
    <c:fmtId val="12"/>
  </c:pivotSource>
  <c:chart>
    <c:title>
      <c:tx>
        <c:rich>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r>
              <a:rPr lang="en-US" sz="900" b="1" baseline="0">
                <a:solidFill>
                  <a:schemeClr val="tx1"/>
                </a:solidFill>
              </a:rPr>
              <a:t>Top Performing Products</a:t>
            </a:r>
            <a:endParaRPr lang="en-US" sz="9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ACEEE"/>
          </a:solidFill>
          <a:ln>
            <a:solidFill>
              <a:srgbClr val="9ACE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24950395789384"/>
          <c:y val="0.19365649606299212"/>
          <c:w val="0.71375049604210627"/>
          <c:h val="0.73759350393700784"/>
        </c:manualLayout>
      </c:layout>
      <c:barChart>
        <c:barDir val="bar"/>
        <c:grouping val="clustered"/>
        <c:varyColors val="0"/>
        <c:ser>
          <c:idx val="0"/>
          <c:order val="0"/>
          <c:tx>
            <c:strRef>
              <c:f>Pivot_Table!$B$2</c:f>
              <c:strCache>
                <c:ptCount val="1"/>
                <c:pt idx="0">
                  <c:v>Total</c:v>
                </c:pt>
              </c:strCache>
            </c:strRef>
          </c:tx>
          <c:spPr>
            <a:solidFill>
              <a:srgbClr val="9ACEEE"/>
            </a:solidFill>
            <a:ln>
              <a:solidFill>
                <a:srgbClr val="9ACEE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Pivot_Table!$A$3:$A$7</c:f>
              <c:strCache>
                <c:ptCount val="4"/>
                <c:pt idx="0">
                  <c:v>Chocolate Chip</c:v>
                </c:pt>
                <c:pt idx="1">
                  <c:v>Arrowroot</c:v>
                </c:pt>
                <c:pt idx="2">
                  <c:v>Oatmeal Raisin</c:v>
                </c:pt>
                <c:pt idx="3">
                  <c:v>Carrot</c:v>
                </c:pt>
              </c:strCache>
            </c:strRef>
          </c:cat>
          <c:val>
            <c:numRef>
              <c:f>Pivot_Table!$B$3:$B$7</c:f>
              <c:numCache>
                <c:formatCode>\$#,##0;\(\$#,##0\);\$#,##0</c:formatCode>
                <c:ptCount val="4"/>
                <c:pt idx="0">
                  <c:v>4572.1500000000005</c:v>
                </c:pt>
                <c:pt idx="1">
                  <c:v>5330.1</c:v>
                </c:pt>
                <c:pt idx="2">
                  <c:v>7310.1599999999989</c:v>
                </c:pt>
                <c:pt idx="3">
                  <c:v>7410.9900000000007</c:v>
                </c:pt>
              </c:numCache>
            </c:numRef>
          </c:val>
          <c:extLst>
            <c:ext xmlns:c16="http://schemas.microsoft.com/office/drawing/2014/chart" uri="{C3380CC4-5D6E-409C-BE32-E72D297353CC}">
              <c16:uniqueId val="{00000000-88BF-47F6-AE06-559D3AB72F7A}"/>
            </c:ext>
          </c:extLst>
        </c:ser>
        <c:dLbls>
          <c:dLblPos val="outEnd"/>
          <c:showLegendKey val="0"/>
          <c:showVal val="1"/>
          <c:showCatName val="0"/>
          <c:showSerName val="0"/>
          <c:showPercent val="0"/>
          <c:showBubbleSize val="0"/>
        </c:dLbls>
        <c:gapWidth val="219"/>
        <c:axId val="556494576"/>
        <c:axId val="556505616"/>
      </c:barChart>
      <c:catAx>
        <c:axId val="55649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556505616"/>
        <c:crosses val="autoZero"/>
        <c:auto val="1"/>
        <c:lblAlgn val="ctr"/>
        <c:lblOffset val="100"/>
        <c:noMultiLvlLbl val="0"/>
      </c:catAx>
      <c:valAx>
        <c:axId val="556505616"/>
        <c:scaling>
          <c:orientation val="minMax"/>
        </c:scaling>
        <c:delete val="1"/>
        <c:axPos val="b"/>
        <c:numFmt formatCode="\$#,##0;\(\$#,##0\);\$#,##0" sourceLinked="1"/>
        <c:majorTickMark val="none"/>
        <c:minorTickMark val="none"/>
        <c:tickLblPos val="nextTo"/>
        <c:crossAx val="55649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596900</xdr:colOff>
      <xdr:row>1</xdr:row>
      <xdr:rowOff>38100</xdr:rowOff>
    </xdr:from>
    <xdr:to>
      <xdr:col>6</xdr:col>
      <xdr:colOff>120650</xdr:colOff>
      <xdr:row>4</xdr:row>
      <xdr:rowOff>95250</xdr:rowOff>
    </xdr:to>
    <xdr:sp macro="" textlink="KPI!C2">
      <xdr:nvSpPr>
        <xdr:cNvPr id="2" name="Rectangle: Rounded Corners 1">
          <a:extLst>
            <a:ext uri="{FF2B5EF4-FFF2-40B4-BE49-F238E27FC236}">
              <a16:creationId xmlns:a16="http://schemas.microsoft.com/office/drawing/2014/main" id="{6ADF3CC0-55FD-6641-89F3-DE12CC27A8A9}"/>
            </a:ext>
          </a:extLst>
        </xdr:cNvPr>
        <xdr:cNvSpPr/>
      </xdr:nvSpPr>
      <xdr:spPr>
        <a:xfrm>
          <a:off x="1936750" y="419100"/>
          <a:ext cx="1352550" cy="60960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60DEC6-3C91-4ADF-800C-B96C89A87AE6}" type="TxLink">
            <a:rPr lang="en-US" sz="2000" b="0" i="0" u="none" strike="noStrike">
              <a:solidFill>
                <a:srgbClr val="000000"/>
              </a:solidFill>
              <a:latin typeface="Aptos Narrow"/>
            </a:rPr>
            <a:pPr algn="ctr"/>
            <a:t> 15,442 </a:t>
          </a:fld>
          <a:endParaRPr lang="en-US" sz="2000"/>
        </a:p>
      </xdr:txBody>
    </xdr:sp>
    <xdr:clientData/>
  </xdr:twoCellAnchor>
  <xdr:twoCellAnchor>
    <xdr:from>
      <xdr:col>6</xdr:col>
      <xdr:colOff>228600</xdr:colOff>
      <xdr:row>1</xdr:row>
      <xdr:rowOff>38100</xdr:rowOff>
    </xdr:from>
    <xdr:to>
      <xdr:col>8</xdr:col>
      <xdr:colOff>381000</xdr:colOff>
      <xdr:row>4</xdr:row>
      <xdr:rowOff>88900</xdr:rowOff>
    </xdr:to>
    <xdr:sp macro="" textlink="KPI!C3">
      <xdr:nvSpPr>
        <xdr:cNvPr id="3" name="Rectangle: Rounded Corners 2">
          <a:extLst>
            <a:ext uri="{FF2B5EF4-FFF2-40B4-BE49-F238E27FC236}">
              <a16:creationId xmlns:a16="http://schemas.microsoft.com/office/drawing/2014/main" id="{71B14F65-6C40-4F60-B80F-38C3E3BB7BF9}"/>
            </a:ext>
          </a:extLst>
        </xdr:cNvPr>
        <xdr:cNvSpPr/>
      </xdr:nvSpPr>
      <xdr:spPr>
        <a:xfrm>
          <a:off x="3397250" y="419100"/>
          <a:ext cx="1371600" cy="60325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6C3A4D-7266-466B-A205-2DE6FE6DD279}" type="TxLink">
            <a:rPr lang="en-US" sz="2000" b="0" i="0" u="none" strike="noStrike">
              <a:solidFill>
                <a:srgbClr val="000000"/>
              </a:solidFill>
              <a:latin typeface="Aptos Narrow"/>
            </a:rPr>
            <a:pPr algn="ctr"/>
            <a:t>$33,326</a:t>
          </a:fld>
          <a:endParaRPr lang="en-US" sz="2000"/>
        </a:p>
      </xdr:txBody>
    </xdr:sp>
    <xdr:clientData/>
  </xdr:twoCellAnchor>
  <xdr:twoCellAnchor>
    <xdr:from>
      <xdr:col>8</xdr:col>
      <xdr:colOff>488950</xdr:colOff>
      <xdr:row>1</xdr:row>
      <xdr:rowOff>38100</xdr:rowOff>
    </xdr:from>
    <xdr:to>
      <xdr:col>11</xdr:col>
      <xdr:colOff>19050</xdr:colOff>
      <xdr:row>4</xdr:row>
      <xdr:rowOff>82550</xdr:rowOff>
    </xdr:to>
    <xdr:sp macro="" textlink="KPI!C4">
      <xdr:nvSpPr>
        <xdr:cNvPr id="4" name="Rectangle: Rounded Corners 3">
          <a:extLst>
            <a:ext uri="{FF2B5EF4-FFF2-40B4-BE49-F238E27FC236}">
              <a16:creationId xmlns:a16="http://schemas.microsoft.com/office/drawing/2014/main" id="{D0DD58D2-9818-4BA5-A042-A753C9CFEE1D}"/>
            </a:ext>
          </a:extLst>
        </xdr:cNvPr>
        <xdr:cNvSpPr/>
      </xdr:nvSpPr>
      <xdr:spPr>
        <a:xfrm>
          <a:off x="4876800" y="419100"/>
          <a:ext cx="1358900" cy="59690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BA22AE-8B66-4736-838C-EDE0D27E7B81}" type="TxLink">
            <a:rPr lang="en-US" sz="2000" b="0" i="0" u="none" strike="noStrike">
              <a:solidFill>
                <a:srgbClr val="000000"/>
              </a:solidFill>
              <a:latin typeface="Aptos Narrow"/>
            </a:rPr>
            <a:pPr algn="ctr"/>
            <a:t>$137</a:t>
          </a:fld>
          <a:endParaRPr lang="en-US" sz="2000" b="0" i="0" u="none" strike="noStrike">
            <a:solidFill>
              <a:srgbClr val="000000"/>
            </a:solidFill>
            <a:latin typeface="Aptos Narrow"/>
          </a:endParaRPr>
        </a:p>
      </xdr:txBody>
    </xdr:sp>
    <xdr:clientData/>
  </xdr:twoCellAnchor>
  <xdr:twoCellAnchor>
    <xdr:from>
      <xdr:col>11</xdr:col>
      <xdr:colOff>127000</xdr:colOff>
      <xdr:row>1</xdr:row>
      <xdr:rowOff>38100</xdr:rowOff>
    </xdr:from>
    <xdr:to>
      <xdr:col>13</xdr:col>
      <xdr:colOff>304800</xdr:colOff>
      <xdr:row>4</xdr:row>
      <xdr:rowOff>95250</xdr:rowOff>
    </xdr:to>
    <xdr:sp macro="" textlink="KPI!C5">
      <xdr:nvSpPr>
        <xdr:cNvPr id="5" name="Rectangle: Rounded Corners 4">
          <a:extLst>
            <a:ext uri="{FF2B5EF4-FFF2-40B4-BE49-F238E27FC236}">
              <a16:creationId xmlns:a16="http://schemas.microsoft.com/office/drawing/2014/main" id="{FED4B0CF-DA28-4597-A116-5354A6CFE442}"/>
            </a:ext>
          </a:extLst>
        </xdr:cNvPr>
        <xdr:cNvSpPr/>
      </xdr:nvSpPr>
      <xdr:spPr>
        <a:xfrm>
          <a:off x="6343650" y="419100"/>
          <a:ext cx="1397000" cy="60960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EAEFBD-D9C1-4D5D-98C5-F3764D13011E}" type="TxLink">
            <a:rPr lang="en-US" sz="2000" b="0" i="0" u="none" strike="noStrike">
              <a:solidFill>
                <a:srgbClr val="000000"/>
              </a:solidFill>
              <a:latin typeface="Aptos Narrow"/>
            </a:rPr>
            <a:pPr algn="ctr"/>
            <a:t>$34</a:t>
          </a:fld>
          <a:endParaRPr lang="en-US" sz="2000"/>
        </a:p>
      </xdr:txBody>
    </xdr:sp>
    <xdr:clientData/>
  </xdr:twoCellAnchor>
  <xdr:twoCellAnchor>
    <xdr:from>
      <xdr:col>13</xdr:col>
      <xdr:colOff>393700</xdr:colOff>
      <xdr:row>1</xdr:row>
      <xdr:rowOff>31750</xdr:rowOff>
    </xdr:from>
    <xdr:to>
      <xdr:col>15</xdr:col>
      <xdr:colOff>539750</xdr:colOff>
      <xdr:row>4</xdr:row>
      <xdr:rowOff>107950</xdr:rowOff>
    </xdr:to>
    <xdr:sp macro="" textlink="KPI!C6">
      <xdr:nvSpPr>
        <xdr:cNvPr id="6" name="Rectangle: Rounded Corners 5">
          <a:extLst>
            <a:ext uri="{FF2B5EF4-FFF2-40B4-BE49-F238E27FC236}">
              <a16:creationId xmlns:a16="http://schemas.microsoft.com/office/drawing/2014/main" id="{297F7A93-2DC6-425A-8E8C-FA80728B8DCB}"/>
            </a:ext>
          </a:extLst>
        </xdr:cNvPr>
        <xdr:cNvSpPr/>
      </xdr:nvSpPr>
      <xdr:spPr>
        <a:xfrm>
          <a:off x="7829550" y="412750"/>
          <a:ext cx="1365250" cy="62865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B8E913-ED9D-417B-8771-17A9D99481FE}" type="TxLink">
            <a:rPr lang="en-US" sz="2000" b="0" i="0" u="none" strike="noStrike">
              <a:solidFill>
                <a:srgbClr val="000000"/>
              </a:solidFill>
              <a:latin typeface="Aptos Narrow"/>
            </a:rPr>
            <a:pPr algn="ctr"/>
            <a:t>$818</a:t>
          </a:fld>
          <a:endParaRPr lang="en-US" sz="2000"/>
        </a:p>
      </xdr:txBody>
    </xdr:sp>
    <xdr:clientData/>
  </xdr:twoCellAnchor>
  <xdr:twoCellAnchor>
    <xdr:from>
      <xdr:col>4</xdr:col>
      <xdr:colOff>171450</xdr:colOff>
      <xdr:row>3</xdr:row>
      <xdr:rowOff>88900</xdr:rowOff>
    </xdr:from>
    <xdr:to>
      <xdr:col>5</xdr:col>
      <xdr:colOff>571500</xdr:colOff>
      <xdr:row>4</xdr:row>
      <xdr:rowOff>88900</xdr:rowOff>
    </xdr:to>
    <xdr:sp macro="" textlink="">
      <xdr:nvSpPr>
        <xdr:cNvPr id="18" name="Rectangle 17">
          <a:extLst>
            <a:ext uri="{FF2B5EF4-FFF2-40B4-BE49-F238E27FC236}">
              <a16:creationId xmlns:a16="http://schemas.microsoft.com/office/drawing/2014/main" id="{4778C0CA-0137-737E-8615-791497E37748}"/>
            </a:ext>
          </a:extLst>
        </xdr:cNvPr>
        <xdr:cNvSpPr/>
      </xdr:nvSpPr>
      <xdr:spPr>
        <a:xfrm>
          <a:off x="2120900" y="838200"/>
          <a:ext cx="1009650" cy="184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 Quantity</a:t>
          </a:r>
        </a:p>
      </xdr:txBody>
    </xdr:sp>
    <xdr:clientData/>
  </xdr:twoCellAnchor>
  <xdr:twoCellAnchor>
    <xdr:from>
      <xdr:col>6</xdr:col>
      <xdr:colOff>406400</xdr:colOff>
      <xdr:row>3</xdr:row>
      <xdr:rowOff>63500</xdr:rowOff>
    </xdr:from>
    <xdr:to>
      <xdr:col>8</xdr:col>
      <xdr:colOff>196850</xdr:colOff>
      <xdr:row>4</xdr:row>
      <xdr:rowOff>69850</xdr:rowOff>
    </xdr:to>
    <xdr:sp macro="" textlink="">
      <xdr:nvSpPr>
        <xdr:cNvPr id="20" name="Rectangle 19">
          <a:extLst>
            <a:ext uri="{FF2B5EF4-FFF2-40B4-BE49-F238E27FC236}">
              <a16:creationId xmlns:a16="http://schemas.microsoft.com/office/drawing/2014/main" id="{EE1D617A-ED1B-4D04-B265-FE40A69A6AE4}"/>
            </a:ext>
          </a:extLst>
        </xdr:cNvPr>
        <xdr:cNvSpPr/>
      </xdr:nvSpPr>
      <xdr:spPr>
        <a:xfrm>
          <a:off x="3575050" y="812800"/>
          <a:ext cx="10096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 Revenue</a:t>
          </a:r>
        </a:p>
      </xdr:txBody>
    </xdr:sp>
    <xdr:clientData/>
  </xdr:twoCellAnchor>
  <xdr:twoCellAnchor>
    <xdr:from>
      <xdr:col>8</xdr:col>
      <xdr:colOff>584200</xdr:colOff>
      <xdr:row>3</xdr:row>
      <xdr:rowOff>76200</xdr:rowOff>
    </xdr:from>
    <xdr:to>
      <xdr:col>10</xdr:col>
      <xdr:colOff>558800</xdr:colOff>
      <xdr:row>4</xdr:row>
      <xdr:rowOff>82550</xdr:rowOff>
    </xdr:to>
    <xdr:sp macro="" textlink="">
      <xdr:nvSpPr>
        <xdr:cNvPr id="21" name="Rectangle 20">
          <a:extLst>
            <a:ext uri="{FF2B5EF4-FFF2-40B4-BE49-F238E27FC236}">
              <a16:creationId xmlns:a16="http://schemas.microsoft.com/office/drawing/2014/main" id="{9023D4E4-6E14-4502-A15D-93E584CC09B3}"/>
            </a:ext>
          </a:extLst>
        </xdr:cNvPr>
        <xdr:cNvSpPr/>
      </xdr:nvSpPr>
      <xdr:spPr>
        <a:xfrm>
          <a:off x="4972050" y="825500"/>
          <a:ext cx="119380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Average</a:t>
          </a:r>
          <a:r>
            <a:rPr lang="en-US" sz="1100" b="1" baseline="0">
              <a:solidFill>
                <a:schemeClr val="tx1"/>
              </a:solidFill>
            </a:rPr>
            <a:t> Revenue</a:t>
          </a:r>
          <a:endParaRPr lang="en-US" sz="1100" b="1">
            <a:solidFill>
              <a:schemeClr val="tx1"/>
            </a:solidFill>
          </a:endParaRPr>
        </a:p>
      </xdr:txBody>
    </xdr:sp>
    <xdr:clientData/>
  </xdr:twoCellAnchor>
  <xdr:twoCellAnchor>
    <xdr:from>
      <xdr:col>11</xdr:col>
      <xdr:colOff>177800</xdr:colOff>
      <xdr:row>3</xdr:row>
      <xdr:rowOff>69850</xdr:rowOff>
    </xdr:from>
    <xdr:to>
      <xdr:col>13</xdr:col>
      <xdr:colOff>260350</xdr:colOff>
      <xdr:row>4</xdr:row>
      <xdr:rowOff>76200</xdr:rowOff>
    </xdr:to>
    <xdr:sp macro="" textlink="">
      <xdr:nvSpPr>
        <xdr:cNvPr id="22" name="Rectangle 21">
          <a:extLst>
            <a:ext uri="{FF2B5EF4-FFF2-40B4-BE49-F238E27FC236}">
              <a16:creationId xmlns:a16="http://schemas.microsoft.com/office/drawing/2014/main" id="{B5668ACD-3E38-4703-977E-772B1A36A4B7}"/>
            </a:ext>
          </a:extLst>
        </xdr:cNvPr>
        <xdr:cNvSpPr/>
      </xdr:nvSpPr>
      <xdr:spPr>
        <a:xfrm>
          <a:off x="6394450" y="819150"/>
          <a:ext cx="13017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solidFill>
                <a:schemeClr val="tx1"/>
              </a:solidFill>
            </a:rPr>
            <a:t>Minimum Revenue</a:t>
          </a:r>
          <a:endParaRPr lang="en-US" sz="1100" b="1">
            <a:solidFill>
              <a:schemeClr val="tx1"/>
            </a:solidFill>
          </a:endParaRPr>
        </a:p>
      </xdr:txBody>
    </xdr:sp>
    <xdr:clientData/>
  </xdr:twoCellAnchor>
  <xdr:twoCellAnchor>
    <xdr:from>
      <xdr:col>13</xdr:col>
      <xdr:colOff>412750</xdr:colOff>
      <xdr:row>3</xdr:row>
      <xdr:rowOff>69850</xdr:rowOff>
    </xdr:from>
    <xdr:to>
      <xdr:col>15</xdr:col>
      <xdr:colOff>495300</xdr:colOff>
      <xdr:row>4</xdr:row>
      <xdr:rowOff>95250</xdr:rowOff>
    </xdr:to>
    <xdr:sp macro="" textlink="">
      <xdr:nvSpPr>
        <xdr:cNvPr id="23" name="Rectangle 22">
          <a:extLst>
            <a:ext uri="{FF2B5EF4-FFF2-40B4-BE49-F238E27FC236}">
              <a16:creationId xmlns:a16="http://schemas.microsoft.com/office/drawing/2014/main" id="{C46E0EDB-D187-4768-ADA4-AD9278DF09A4}"/>
            </a:ext>
          </a:extLst>
        </xdr:cNvPr>
        <xdr:cNvSpPr/>
      </xdr:nvSpPr>
      <xdr:spPr>
        <a:xfrm>
          <a:off x="7848600" y="819150"/>
          <a:ext cx="1301750" cy="209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solidFill>
                <a:schemeClr val="tx1"/>
              </a:solidFill>
            </a:rPr>
            <a:t>Maximum Revenue</a:t>
          </a:r>
          <a:endParaRPr lang="en-US" sz="1100" b="1">
            <a:solidFill>
              <a:schemeClr val="tx1"/>
            </a:solidFill>
          </a:endParaRPr>
        </a:p>
      </xdr:txBody>
    </xdr:sp>
    <xdr:clientData/>
  </xdr:twoCellAnchor>
  <xdr:twoCellAnchor>
    <xdr:from>
      <xdr:col>3</xdr:col>
      <xdr:colOff>590550</xdr:colOff>
      <xdr:row>4</xdr:row>
      <xdr:rowOff>152400</xdr:rowOff>
    </xdr:from>
    <xdr:to>
      <xdr:col>9</xdr:col>
      <xdr:colOff>533400</xdr:colOff>
      <xdr:row>14</xdr:row>
      <xdr:rowOff>25400</xdr:rowOff>
    </xdr:to>
    <xdr:sp macro="" textlink="">
      <xdr:nvSpPr>
        <xdr:cNvPr id="7" name="Rectangle 6">
          <a:extLst>
            <a:ext uri="{FF2B5EF4-FFF2-40B4-BE49-F238E27FC236}">
              <a16:creationId xmlns:a16="http://schemas.microsoft.com/office/drawing/2014/main" id="{88725E12-B472-AC87-7202-0FF91D0EEB0D}"/>
            </a:ext>
          </a:extLst>
        </xdr:cNvPr>
        <xdr:cNvSpPr/>
      </xdr:nvSpPr>
      <xdr:spPr>
        <a:xfrm>
          <a:off x="1930400" y="1085850"/>
          <a:ext cx="3600450" cy="1714500"/>
        </a:xfrm>
        <a:prstGeom prst="rect">
          <a:avLst/>
        </a:prstGeom>
        <a:no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577850</xdr:colOff>
      <xdr:row>4</xdr:row>
      <xdr:rowOff>158750</xdr:rowOff>
    </xdr:from>
    <xdr:to>
      <xdr:col>15</xdr:col>
      <xdr:colOff>520700</xdr:colOff>
      <xdr:row>14</xdr:row>
      <xdr:rowOff>25400</xdr:rowOff>
    </xdr:to>
    <xdr:sp macro="" textlink="">
      <xdr:nvSpPr>
        <xdr:cNvPr id="12" name="Rectangle 11">
          <a:extLst>
            <a:ext uri="{FF2B5EF4-FFF2-40B4-BE49-F238E27FC236}">
              <a16:creationId xmlns:a16="http://schemas.microsoft.com/office/drawing/2014/main" id="{997FAAB3-F7E7-482C-BE11-7DD195DF8453}"/>
            </a:ext>
          </a:extLst>
        </xdr:cNvPr>
        <xdr:cNvSpPr/>
      </xdr:nvSpPr>
      <xdr:spPr>
        <a:xfrm>
          <a:off x="5575300" y="1092200"/>
          <a:ext cx="3600450" cy="1708150"/>
        </a:xfrm>
        <a:prstGeom prst="rect">
          <a:avLst/>
        </a:prstGeom>
        <a:no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603250</xdr:colOff>
      <xdr:row>14</xdr:row>
      <xdr:rowOff>76200</xdr:rowOff>
    </xdr:from>
    <xdr:to>
      <xdr:col>9</xdr:col>
      <xdr:colOff>546100</xdr:colOff>
      <xdr:row>24</xdr:row>
      <xdr:rowOff>31750</xdr:rowOff>
    </xdr:to>
    <xdr:sp macro="" textlink="">
      <xdr:nvSpPr>
        <xdr:cNvPr id="14" name="Rectangle 13">
          <a:extLst>
            <a:ext uri="{FF2B5EF4-FFF2-40B4-BE49-F238E27FC236}">
              <a16:creationId xmlns:a16="http://schemas.microsoft.com/office/drawing/2014/main" id="{0AC7AF09-538E-4213-89B4-2E51E57BF65A}"/>
            </a:ext>
          </a:extLst>
        </xdr:cNvPr>
        <xdr:cNvSpPr/>
      </xdr:nvSpPr>
      <xdr:spPr>
        <a:xfrm>
          <a:off x="1943100" y="2851150"/>
          <a:ext cx="3600450" cy="1797050"/>
        </a:xfrm>
        <a:prstGeom prst="rect">
          <a:avLst/>
        </a:prstGeom>
        <a:no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14</xdr:row>
      <xdr:rowOff>76200</xdr:rowOff>
    </xdr:from>
    <xdr:to>
      <xdr:col>15</xdr:col>
      <xdr:colOff>527050</xdr:colOff>
      <xdr:row>24</xdr:row>
      <xdr:rowOff>19050</xdr:rowOff>
    </xdr:to>
    <xdr:sp macro="" textlink="">
      <xdr:nvSpPr>
        <xdr:cNvPr id="15" name="Rectangle 14">
          <a:extLst>
            <a:ext uri="{FF2B5EF4-FFF2-40B4-BE49-F238E27FC236}">
              <a16:creationId xmlns:a16="http://schemas.microsoft.com/office/drawing/2014/main" id="{259A0C7A-7344-4021-AE9B-C0D30BE92F4B}"/>
            </a:ext>
          </a:extLst>
        </xdr:cNvPr>
        <xdr:cNvSpPr/>
      </xdr:nvSpPr>
      <xdr:spPr>
        <a:xfrm>
          <a:off x="5607050" y="2851150"/>
          <a:ext cx="3575050" cy="1784350"/>
        </a:xfrm>
        <a:prstGeom prst="rect">
          <a:avLst/>
        </a:prstGeom>
        <a:no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584200</xdr:colOff>
      <xdr:row>1</xdr:row>
      <xdr:rowOff>69850</xdr:rowOff>
    </xdr:from>
    <xdr:to>
      <xdr:col>19</xdr:col>
      <xdr:colOff>552450</xdr:colOff>
      <xdr:row>12</xdr:row>
      <xdr:rowOff>76200</xdr:rowOff>
    </xdr:to>
    <xdr:sp macro="" textlink="">
      <xdr:nvSpPr>
        <xdr:cNvPr id="16" name="Rectangle: Rounded Corners 15">
          <a:extLst>
            <a:ext uri="{FF2B5EF4-FFF2-40B4-BE49-F238E27FC236}">
              <a16:creationId xmlns:a16="http://schemas.microsoft.com/office/drawing/2014/main" id="{B562E344-3730-2F30-3E25-96E0F59542D4}"/>
            </a:ext>
          </a:extLst>
        </xdr:cNvPr>
        <xdr:cNvSpPr/>
      </xdr:nvSpPr>
      <xdr:spPr>
        <a:xfrm>
          <a:off x="9239250" y="450850"/>
          <a:ext cx="2406650" cy="203200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584200</xdr:colOff>
      <xdr:row>12</xdr:row>
      <xdr:rowOff>146050</xdr:rowOff>
    </xdr:from>
    <xdr:to>
      <xdr:col>19</xdr:col>
      <xdr:colOff>558800</xdr:colOff>
      <xdr:row>24</xdr:row>
      <xdr:rowOff>19050</xdr:rowOff>
    </xdr:to>
    <xdr:sp macro="" textlink="">
      <xdr:nvSpPr>
        <xdr:cNvPr id="19" name="Rectangle: Rounded Corners 18">
          <a:extLst>
            <a:ext uri="{FF2B5EF4-FFF2-40B4-BE49-F238E27FC236}">
              <a16:creationId xmlns:a16="http://schemas.microsoft.com/office/drawing/2014/main" id="{46664C16-F20B-458B-A093-173632DFED49}"/>
            </a:ext>
          </a:extLst>
        </xdr:cNvPr>
        <xdr:cNvSpPr/>
      </xdr:nvSpPr>
      <xdr:spPr>
        <a:xfrm>
          <a:off x="9239250" y="2552700"/>
          <a:ext cx="2413000" cy="2082800"/>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596900</xdr:colOff>
      <xdr:row>4</xdr:row>
      <xdr:rowOff>152400</xdr:rowOff>
    </xdr:from>
    <xdr:to>
      <xdr:col>9</xdr:col>
      <xdr:colOff>533400</xdr:colOff>
      <xdr:row>14</xdr:row>
      <xdr:rowOff>25400</xdr:rowOff>
    </xdr:to>
    <xdr:graphicFrame macro="">
      <xdr:nvGraphicFramePr>
        <xdr:cNvPr id="25" name="Chart 24">
          <a:extLst>
            <a:ext uri="{FF2B5EF4-FFF2-40B4-BE49-F238E27FC236}">
              <a16:creationId xmlns:a16="http://schemas.microsoft.com/office/drawing/2014/main" id="{BE9019EF-59FA-476E-B620-C1EDCAF1C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603250</xdr:colOff>
      <xdr:row>14</xdr:row>
      <xdr:rowOff>69850</xdr:rowOff>
    </xdr:from>
    <xdr:to>
      <xdr:col>9</xdr:col>
      <xdr:colOff>552450</xdr:colOff>
      <xdr:row>24</xdr:row>
      <xdr:rowOff>25400</xdr:rowOff>
    </xdr:to>
    <xdr:graphicFrame macro="">
      <xdr:nvGraphicFramePr>
        <xdr:cNvPr id="26" name="Chart 25">
          <a:extLst>
            <a:ext uri="{FF2B5EF4-FFF2-40B4-BE49-F238E27FC236}">
              <a16:creationId xmlns:a16="http://schemas.microsoft.com/office/drawing/2014/main" id="{FC87B402-1E4C-46F4-A768-66EF2DBC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577850</xdr:colOff>
      <xdr:row>4</xdr:row>
      <xdr:rowOff>152400</xdr:rowOff>
    </xdr:from>
    <xdr:to>
      <xdr:col>15</xdr:col>
      <xdr:colOff>514350</xdr:colOff>
      <xdr:row>14</xdr:row>
      <xdr:rowOff>31750</xdr:rowOff>
    </xdr:to>
    <xdr:graphicFrame macro="">
      <xdr:nvGraphicFramePr>
        <xdr:cNvPr id="28" name="Chart 27">
          <a:extLst>
            <a:ext uri="{FF2B5EF4-FFF2-40B4-BE49-F238E27FC236}">
              <a16:creationId xmlns:a16="http://schemas.microsoft.com/office/drawing/2014/main" id="{510E08F0-D786-40CC-A71B-5DDF57056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603250</xdr:colOff>
      <xdr:row>14</xdr:row>
      <xdr:rowOff>76200</xdr:rowOff>
    </xdr:from>
    <xdr:to>
      <xdr:col>15</xdr:col>
      <xdr:colOff>520700</xdr:colOff>
      <xdr:row>24</xdr:row>
      <xdr:rowOff>12700</xdr:rowOff>
    </xdr:to>
    <xdr:graphicFrame macro="">
      <xdr:nvGraphicFramePr>
        <xdr:cNvPr id="30" name="Chart 29">
          <a:extLst>
            <a:ext uri="{FF2B5EF4-FFF2-40B4-BE49-F238E27FC236}">
              <a16:creationId xmlns:a16="http://schemas.microsoft.com/office/drawing/2014/main" id="{22A85A84-17A6-4BB6-8454-7FF33235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577850</xdr:colOff>
      <xdr:row>12</xdr:row>
      <xdr:rowOff>120650</xdr:rowOff>
    </xdr:from>
    <xdr:to>
      <xdr:col>19</xdr:col>
      <xdr:colOff>552450</xdr:colOff>
      <xdr:row>24</xdr:row>
      <xdr:rowOff>38100</xdr:rowOff>
    </xdr:to>
    <xdr:graphicFrame macro="">
      <xdr:nvGraphicFramePr>
        <xdr:cNvPr id="8" name="Chart 7">
          <a:extLst>
            <a:ext uri="{FF2B5EF4-FFF2-40B4-BE49-F238E27FC236}">
              <a16:creationId xmlns:a16="http://schemas.microsoft.com/office/drawing/2014/main" id="{B7FB63A7-0821-4CDA-90A0-DCC999ECC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565150</xdr:colOff>
      <xdr:row>1</xdr:row>
      <xdr:rowOff>44450</xdr:rowOff>
    </xdr:from>
    <xdr:to>
      <xdr:col>19</xdr:col>
      <xdr:colOff>520700</xdr:colOff>
      <xdr:row>12</xdr:row>
      <xdr:rowOff>44450</xdr:rowOff>
    </xdr:to>
    <xdr:graphicFrame macro="">
      <xdr:nvGraphicFramePr>
        <xdr:cNvPr id="9" name="Chart 8">
          <a:extLst>
            <a:ext uri="{FF2B5EF4-FFF2-40B4-BE49-F238E27FC236}">
              <a16:creationId xmlns:a16="http://schemas.microsoft.com/office/drawing/2014/main" id="{6B557610-CB46-41B6-8B03-06FD91976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101600</xdr:colOff>
      <xdr:row>1</xdr:row>
      <xdr:rowOff>31750</xdr:rowOff>
    </xdr:from>
    <xdr:to>
      <xdr:col>3</xdr:col>
      <xdr:colOff>546100</xdr:colOff>
      <xdr:row>6</xdr:row>
      <xdr:rowOff>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91FDEB2-97C1-41A5-9E9B-E81EA11C2A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600" y="412750"/>
              <a:ext cx="178435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11</xdr:row>
      <xdr:rowOff>25400</xdr:rowOff>
    </xdr:from>
    <xdr:to>
      <xdr:col>3</xdr:col>
      <xdr:colOff>552450</xdr:colOff>
      <xdr:row>19</xdr:row>
      <xdr:rowOff>12700</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140480E6-B16A-42B1-B7B0-DC9FB516B42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550" y="2247900"/>
              <a:ext cx="180975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6</xdr:row>
      <xdr:rowOff>19050</xdr:rowOff>
    </xdr:from>
    <xdr:to>
      <xdr:col>3</xdr:col>
      <xdr:colOff>552450</xdr:colOff>
      <xdr:row>11</xdr:row>
      <xdr:rowOff>12700</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4EEB1197-57B9-4261-8B33-BEE6E041DD2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550" y="1320800"/>
              <a:ext cx="18097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19</xdr:row>
      <xdr:rowOff>38100</xdr:rowOff>
    </xdr:from>
    <xdr:to>
      <xdr:col>3</xdr:col>
      <xdr:colOff>546100</xdr:colOff>
      <xdr:row>24</xdr:row>
      <xdr:rowOff>38100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84FD629-EAD2-46F9-A006-8072B1D2B3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50" y="3733800"/>
              <a:ext cx="180340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5740.649584837964" createdVersion="3" refreshedVersion="8" minRefreshableVersion="3" recordCount="0" tupleCache="1" supportSubquery="1" supportAdvancedDrill="1" xr:uid="{77BADB60-5611-4867-A68E-89F361398D0D}">
  <cacheSource type="external" connectionId="2"/>
  <cacheFields count="5">
    <cacheField name="[Measures].[MeasuresLevel]" caption="MeasuresLevel" numFmtId="0" hierarchy="3">
      <sharedItems count="5">
        <s v="[Measures].[Maximum Revenue]" c="Maximum Revenue"/>
        <s v="[Measures].[Minimum Revenue]" c="Minimum Revenue"/>
        <s v="[Measures].[Average Revenue]" c="Average Revenue"/>
        <s v="[Measures].[Total Revenue]" c="Total Revenue"/>
        <s v="[Measures].[Total Quantity]" c="Total Quantity"/>
      </sharedItems>
    </cacheField>
    <cacheField name="[sales_inventory].[Year].[Year]" caption="Year" numFmtId="0" hierarchy="13" level="1">
      <sharedItems count="2">
        <s v="[sales_inventory].[Year].&amp;[2.022E3]" c="2022"/>
        <s v="[sales_inventory].[Year].&amp;[2.023E3]" c="2023"/>
      </sharedItems>
    </cacheField>
    <cacheField name="[product].[Product].[Product]" caption="Product" numFmtId="0" hierarchy="5" level="1">
      <sharedItems count="5">
        <s v="[product].[Product].&amp;[Arrowroot]" c="Arrowroot"/>
        <s v="[product].[Product].&amp;[Banana]" c="Banana"/>
        <s v="[product].[Product].&amp;[Bran]" c="Bran"/>
        <s v="[product].[Product].&amp;[Carrot]" c="Carrot"/>
        <s v="[product].[Product].&amp;[Chocolate Chip]" c="Chocolate Chip"/>
      </sharedItems>
    </cacheField>
    <cacheField name="[product_category].[Product_Category].[Product_Category]" caption="Product_Category" numFmtId="0" hierarchy="7" level="1">
      <sharedItems count="4">
        <s v="[product_category].[Product_Category].&amp;[Bars]" c="Bars"/>
        <s v="[product_category].[Product_Category].&amp;[Cookies]" c="Cookies"/>
        <s v="[product_category].[Product_Category].&amp;[Crackers]" c="Crackers"/>
        <s v="[product_category].[Product_Category].&amp;[Snacks]" c="Snacks"/>
      </sharedItems>
    </cacheField>
    <cacheField name="[region].[Region].[Region]" caption="Region" numFmtId="0" hierarchy="9" level="1">
      <sharedItems count="2">
        <s v="[region].[Region].&amp;[East]" c="East"/>
        <s v="[region].[Region].&amp;[West]" c="West"/>
      </sharedItems>
    </cacheField>
  </cacheFields>
  <cacheHierarchies count="38">
    <cacheHierarchy uniqueName="[date].[Year]" caption="Year" attribute="1" defaultMemberUniqueName="[date].[Year].[All]" allUniqueName="[date].[Year].[All]" dimensionUniqueName="[date]" displayFolder="" count="2" memberValueDatatype="5" unbalanced="0"/>
    <cacheHierarchy uniqueName="[date].[Month]" caption="Month" attribute="1" defaultMemberUniqueName="[date].[Month].[All]" allUniqueName="[date].[Month].[All]" dimensionUniqueName="[date]" displayFolder="" count="2" memberValueDatatype="5" unbalanced="0"/>
    <cacheHierarchy uniqueName="[date].[Month Name]" caption="Month Name" attribute="1" defaultMemberUniqueName="[date].[Month Name].[All]" allUniqueName="[date].[Month Name].[All]" dimensionUniqueName="[dat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roduct].[Product ID]" caption="Product ID" attribute="1" defaultMemberUniqueName="[product].[Product ID].[All]" allUniqueName="[product].[Product ID].[All]" dimensionUniqueName="[product]" displayFolder="" count="2" memberValueDatatype="130" unbalanced="0"/>
    <cacheHierarchy uniqueName="[product].[Product]" caption="Product" attribute="1" defaultMemberUniqueName="[product].[Product].[All]" allUniqueName="[product].[Product].[All]" allCaption="All" dimensionUniqueName="[product]" displayFolder="" count="2" memberValueDatatype="130" unbalanced="0">
      <fieldsUsage count="2">
        <fieldUsage x="-1"/>
        <fieldUsage x="2"/>
      </fieldsUsage>
    </cacheHierarchy>
    <cacheHierarchy uniqueName="[product_category].[Porduct Category ID]" caption="Porduct Category ID" attribute="1" defaultMemberUniqueName="[product_category].[Porduct Category ID].[All]" allUniqueName="[product_category].[Porduct Category ID].[All]" dimensionUniqueName="[product_category]" displayFolder="" count="2" memberValueDatatype="130" unbalanced="0"/>
    <cacheHierarchy uniqueName="[product_category].[Product_Category]" caption="Product_Category" attribute="1" defaultMemberUniqueName="[product_category].[Product_Category].[All]" allUniqueName="[product_category].[Product_Category].[All]" allCaption="All" dimensionUniqueName="[product_category]" displayFolder="" count="2" memberValueDatatype="130" unbalanced="0">
      <fieldsUsage count="2">
        <fieldUsage x="-1"/>
        <fieldUsage x="3"/>
      </fieldsUsage>
    </cacheHierarchy>
    <cacheHierarchy uniqueName="[region].[Region ID]" caption="Region ID" attribute="1" defaultMemberUniqueName="[region].[Region ID].[All]" allUniqueName="[region].[Region ID].[All]" dimensionUniqueName="[region]" displayFolder="" count="2" memberValueDatatype="130" unbalanced="0"/>
    <cacheHierarchy uniqueName="[region].[Region]" caption="Region" attribute="1" defaultMemberUniqueName="[region].[Region].[All]" allUniqueName="[region].[Region].[All]" allCaption="All" dimensionUniqueName="[region]" displayFolder="" count="2" memberValueDatatype="130" unbalanced="0">
      <fieldsUsage count="2">
        <fieldUsage x="-1"/>
        <fieldUsage x="4"/>
      </fieldsUsage>
    </cacheHierarchy>
    <cacheHierarchy uniqueName="[sales_inventory].[ID]" caption="ID" attribute="1" defaultMemberUniqueName="[sales_inventory].[ID].[All]" allUniqueName="[sales_inventory].[ID].[All]" dimensionUniqueName="[sales_inventory]" displayFolder="" count="2" memberValueDatatype="130" unbalanced="0"/>
    <cacheHierarchy uniqueName="[sales_inventory].[Month]" caption="Month" attribute="1" defaultMemberUniqueName="[sales_inventory].[Month].[All]" allUniqueName="[sales_inventory].[Month].[All]" dimensionUniqueName="[sales_inventory]" displayFolder="" count="2" memberValueDatatype="5" unbalanced="0"/>
    <cacheHierarchy uniqueName="[sales_inventory].[Week Day]" caption="Week Day" attribute="1" defaultMemberUniqueName="[sales_inventory].[Week Day].[All]" allUniqueName="[sales_inventory].[Week Day].[All]" dimensionUniqueName="[sales_inventory]" displayFolder="" count="2" memberValueDatatype="5" unbalanced="0"/>
    <cacheHierarchy uniqueName="[sales_inventory].[Year]" caption="Year" attribute="1" defaultMemberUniqueName="[sales_inventory].[Year].[All]" allUniqueName="[sales_inventory].[Year].[All]" allCaption="All" dimensionUniqueName="[sales_inventory]" displayFolder="" count="2" memberValueDatatype="5" unbalanced="0">
      <fieldsUsage count="2">
        <fieldUsage x="-1"/>
        <fieldUsage x="1"/>
      </fieldsUsage>
    </cacheHierarchy>
    <cacheHierarchy uniqueName="[sales_inventory].[Month Name]" caption="Month Name" attribute="1" defaultMemberUniqueName="[sales_inventory].[Month Name].[All]" allUniqueName="[sales_inventory].[Month Name].[All]" dimensionUniqueName="[sales_inventory]" displayFolder="" count="2" memberValueDatatype="130" unbalanced="0"/>
    <cacheHierarchy uniqueName="[sales_inventory].[Region]" caption="Region" attribute="1" defaultMemberUniqueName="[sales_inventory].[Region].[All]" allUniqueName="[sales_inventory].[Region].[All]" dimensionUniqueName="[sales_inventory]" displayFolder="" count="2" memberValueDatatype="130" unbalanced="0"/>
    <cacheHierarchy uniqueName="[sales_inventory].[State]" caption="State" attribute="1" defaultMemberUniqueName="[sales_inventory].[State].[All]" allUniqueName="[sales_inventory].[State].[All]" dimensionUniqueName="[sales_inventory]" displayFolder="" count="2"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2"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cacheHierarchy uniqueName="[sales_inventory].[Quantity]" caption="Quantity" attribute="1" defaultMemberUniqueName="[sales_inventory].[Quantity].[All]" allUniqueName="[sales_inventory].[Quantity].[All]" dimensionUniqueName="[sales_inventory]" displayFolder="" count="2" memberValueDatatype="5" unbalanced="0"/>
    <cacheHierarchy uniqueName="[sales_inventory].[Unit_Price]" caption="Unit_Price" attribute="1" defaultMemberUniqueName="[sales_inventory].[Unit_Price].[All]" allUniqueName="[sales_inventory].[Unit_Price].[All]" dimensionUniqueName="[sales_inventory]" displayFolder="" count="2" memberValueDatatype="5" unbalanced="0"/>
    <cacheHierarchy uniqueName="[sales_inventory].[Revenue]" caption="Revenue" attribute="1" defaultMemberUniqueName="[sales_inventory].[Revenue].[All]" allUniqueName="[sales_inventory].[Revenue].[All]" dimensionUniqueName="[sales_inventory]" displayFolder="" count="2"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2" memberValueDatatype="130" unbalanced="0"/>
    <cacheHierarchy uniqueName="[state].[State ID]" caption="State ID" attribute="1" defaultMemberUniqueName="[state].[State ID].[All]" allUniqueName="[state].[State ID].[All]" dimensionUniqueName="[state]" displayFolder="" count="2" memberValueDatatype="130" unbalanced="0"/>
    <cacheHierarchy uniqueName="[state].[State]" caption="State" attribute="1" defaultMemberUniqueName="[state].[State].[All]" allUniqueName="[state].[State].[All]" dimensionUniqueName="[state]" displayFolder="" count="2"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9"/>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tupleCache>
    <entries count="115">
      <n v="817.92" in="0">
        <tpls c="1">
          <tpl fld="0" item="0"/>
        </tpls>
      </n>
      <n v="33.6" in="0">
        <tpls c="1">
          <tpl fld="0" item="1"/>
        </tpls>
      </n>
      <n v="136.58024590163936" in="0">
        <tpls c="1">
          <tpl fld="0" item="2"/>
        </tpls>
      </n>
      <n v="33325.58" in="0">
        <tpls c="1">
          <tpl fld="0" item="3"/>
        </tpls>
      </n>
      <n v="15442" in="1">
        <tpls c="1">
          <tpl fld="0" item="4"/>
        </tpls>
      </n>
      <n v="33325.58" in="0">
        <tpls c="5">
          <tpl fld="0" item="3"/>
          <tpl hier="5" item="0"/>
          <tpl hier="7" item="1"/>
          <tpl hier="9" item="2"/>
          <tpl hier="13" item="3"/>
        </tpls>
      </n>
      <n v="136.58024590163936" in="0">
        <tpls c="5">
          <tpl fld="0" item="2"/>
          <tpl hier="5" item="0"/>
          <tpl hier="7" item="1"/>
          <tpl hier="9" item="2"/>
          <tpl hier="13" item="3"/>
        </tpls>
      </n>
      <n v="15442" in="1">
        <tpls c="5">
          <tpl fld="0" item="4"/>
          <tpl hier="5" item="0"/>
          <tpl hier="7" item="1"/>
          <tpl hier="9" item="2"/>
          <tpl hier="13" item="3"/>
        </tpls>
      </n>
      <n v="33.6" in="0">
        <tpls c="5">
          <tpl fld="0" item="1"/>
          <tpl hier="5" item="0"/>
          <tpl hier="7" item="1"/>
          <tpl hier="9" item="2"/>
          <tpl hier="13" item="3"/>
        </tpls>
      </n>
      <n v="817.92" in="0">
        <tpls c="5">
          <tpl fld="0" item="0"/>
          <tpl hier="5" item="0"/>
          <tpl hier="7" item="1"/>
          <tpl hier="9" item="2"/>
          <tpl hier="13" item="3"/>
        </tpls>
      </n>
      <n v="817.92" in="0">
        <tpls c="5">
          <tpl fld="0" item="0"/>
          <tpl hier="5" item="0"/>
          <tpl hier="7" item="1"/>
          <tpl hier="9" item="2"/>
          <tpl hier="13" item="4"/>
        </tpls>
      </n>
      <n v="35.4" in="0">
        <tpls c="5">
          <tpl fld="0" item="1"/>
          <tpl hier="5" item="0"/>
          <tpl hier="7" item="1"/>
          <tpl hier="9" item="2"/>
          <tpl hier="13" item="4"/>
        </tpls>
      </n>
      <n v="8325" in="1">
        <tpls c="5">
          <tpl fld="0" item="4"/>
          <tpl hier="5" item="0"/>
          <tpl hier="7" item="1"/>
          <tpl hier="9" item="2"/>
          <tpl hier="13" item="4"/>
        </tpls>
      </n>
      <n v="147.44803278688528" in="0">
        <tpls c="5">
          <tpl fld="0" item="2"/>
          <tpl hier="5" item="0"/>
          <tpl hier="7" item="1"/>
          <tpl hier="9" item="2"/>
          <tpl hier="13" item="4"/>
        </tpls>
      </n>
      <n v="17988.660000000003" in="0">
        <tpls c="5">
          <tpl fld="0" item="3"/>
          <tpl hier="5" item="0"/>
          <tpl hier="7" item="1"/>
          <tpl hier="9" item="2"/>
          <tpl hier="13" item="4"/>
        </tpls>
      </n>
      <n v="458.15000000000003" in="0">
        <tpls c="5">
          <tpl fld="0" item="0"/>
          <tpl hier="5" item="0"/>
          <tpl hier="7" item="1"/>
          <tpl hier="9" item="2"/>
          <tpl hier="13" item="5"/>
        </tpls>
      </n>
      <n v="33.6" in="0">
        <tpls c="5">
          <tpl fld="0" item="1"/>
          <tpl hier="5" item="0"/>
          <tpl hier="7" item="1"/>
          <tpl hier="9" item="2"/>
          <tpl hier="13" item="5"/>
        </tpls>
      </n>
      <n v="7117" in="1">
        <tpls c="5">
          <tpl fld="0" item="4"/>
          <tpl hier="5" item="0"/>
          <tpl hier="7" item="1"/>
          <tpl hier="9" item="2"/>
          <tpl hier="13" item="5"/>
        </tpls>
      </n>
      <n v="125.71245901639345" in="0">
        <tpls c="5">
          <tpl fld="0" item="2"/>
          <tpl hier="5" item="0"/>
          <tpl hier="7" item="1"/>
          <tpl hier="9" item="2"/>
          <tpl hier="13" item="5"/>
        </tpls>
      </n>
      <n v="15336.920000000002" in="0">
        <tpls c="5">
          <tpl fld="0" item="3"/>
          <tpl hier="5" item="0"/>
          <tpl hier="7" item="1"/>
          <tpl hier="9" item="2"/>
          <tpl hier="13" item="5"/>
        </tpls>
      </n>
      <n v="516.66000000000008" in="0">
        <tpls c="5">
          <tpl fld="0" item="0"/>
          <tpl hier="5" item="6"/>
          <tpl hier="7" item="1"/>
          <tpl hier="9" item="2"/>
          <tpl hier="13" item="3"/>
        </tpls>
      </n>
      <n v="43.6" in="0">
        <tpls c="5">
          <tpl fld="0" item="1"/>
          <tpl hier="5" item="6"/>
          <tpl hier="7" item="1"/>
          <tpl hier="9" item="2"/>
          <tpl hier="13" item="3"/>
        </tpls>
      </n>
      <n v="2445" in="1">
        <tpls c="5">
          <tpl fld="0" item="4"/>
          <tpl hier="5" item="6"/>
          <tpl hier="7" item="1"/>
          <tpl hier="9" item="2"/>
          <tpl hier="13" item="3"/>
        </tpls>
      </n>
      <n v="171.93870967741935" in="0">
        <tpls c="5">
          <tpl fld="0" item="2"/>
          <tpl hier="5" item="6"/>
          <tpl hier="7" item="1"/>
          <tpl hier="9" item="2"/>
          <tpl hier="13" item="3"/>
        </tpls>
      </n>
      <n v="5330.1" in="0">
        <tpls c="5">
          <tpl fld="0" item="3"/>
          <tpl hier="5" item="6"/>
          <tpl hier="7" item="1"/>
          <tpl hier="9" item="2"/>
          <tpl hier="13" item="3"/>
        </tpls>
      </n>
      <n v="68.099999999999994" in="0">
        <tpls c="5">
          <tpl fld="0" item="0"/>
          <tpl hier="5" item="7"/>
          <tpl hier="7" item="1"/>
          <tpl hier="9" item="2"/>
          <tpl hier="13" item="3"/>
        </tpls>
      </n>
      <n v="49.94" in="0">
        <tpls c="5">
          <tpl fld="0" item="1"/>
          <tpl hier="5" item="7"/>
          <tpl hier="7" item="1"/>
          <tpl hier="9" item="2"/>
          <tpl hier="13" item="3"/>
        </tpls>
      </n>
      <n v="79" in="1">
        <tpls c="5">
          <tpl fld="0" item="4"/>
          <tpl hier="5" item="7"/>
          <tpl hier="7" item="1"/>
          <tpl hier="9" item="2"/>
          <tpl hier="13" item="3"/>
        </tpls>
      </n>
      <n v="59.776666666666664" in="0">
        <tpls c="5">
          <tpl fld="0" item="2"/>
          <tpl hier="5" item="7"/>
          <tpl hier="7" item="1"/>
          <tpl hier="9" item="2"/>
          <tpl hier="13" item="3"/>
        </tpls>
      </n>
      <n v="179.32999999999998" in="0">
        <tpls c="5">
          <tpl fld="0" item="3"/>
          <tpl hier="5" item="7"/>
          <tpl hier="7" item="1"/>
          <tpl hier="9" item="2"/>
          <tpl hier="13" item="3"/>
        </tpls>
      </n>
      <n v="205.70000000000002" in="0">
        <tpls c="5">
          <tpl fld="0" item="0"/>
          <tpl hier="5" item="8"/>
          <tpl hier="7" item="1"/>
          <tpl hier="9" item="2"/>
          <tpl hier="13" item="3"/>
        </tpls>
      </n>
      <n v="48.620000000000005" in="0">
        <tpls c="5">
          <tpl fld="0" item="1"/>
          <tpl hier="5" item="8"/>
          <tpl hier="7" item="1"/>
          <tpl hier="9" item="2"/>
          <tpl hier="13" item="3"/>
        </tpls>
      </n>
      <n v="1575" in="1">
        <tpls c="5">
          <tpl fld="0" item="4"/>
          <tpl hier="5" item="8"/>
          <tpl hier="7" item="1"/>
          <tpl hier="9" item="2"/>
          <tpl hier="13" item="3"/>
        </tpls>
      </n>
      <n v="109.08333333333333" in="0">
        <tpls c="5">
          <tpl fld="0" item="2"/>
          <tpl hier="5" item="8"/>
          <tpl hier="7" item="1"/>
          <tpl hier="9" item="2"/>
          <tpl hier="13" item="3"/>
        </tpls>
      </n>
      <n v="2945.25" in="0">
        <tpls c="5">
          <tpl fld="0" item="3"/>
          <tpl hier="5" item="8"/>
          <tpl hier="7" item="1"/>
          <tpl hier="9" item="2"/>
          <tpl hier="13" item="3"/>
        </tpls>
      </n>
      <n v="541.62" in="0">
        <tpls c="5">
          <tpl fld="0" item="0"/>
          <tpl hier="5" item="9"/>
          <tpl hier="7" item="1"/>
          <tpl hier="9" item="2"/>
          <tpl hier="13" item="3"/>
        </tpls>
      </n>
      <n v="35.4" in="0">
        <tpls c="5">
          <tpl fld="0" item="1"/>
          <tpl hier="5" item="9"/>
          <tpl hier="7" item="1"/>
          <tpl hier="9" item="2"/>
          <tpl hier="13" item="3"/>
        </tpls>
      </n>
      <n v="4187" in="1">
        <tpls c="5">
          <tpl fld="0" item="4"/>
          <tpl hier="5" item="9"/>
          <tpl hier="7" item="1"/>
          <tpl hier="9" item="2"/>
          <tpl hier="13" item="3"/>
        </tpls>
      </n>
      <n v="115.79671875000001" in="0">
        <tpls c="5">
          <tpl fld="0" item="2"/>
          <tpl hier="5" item="9"/>
          <tpl hier="7" item="1"/>
          <tpl hier="9" item="2"/>
          <tpl hier="13" item="3"/>
        </tpls>
      </n>
      <n v="7410.9900000000007" in="0">
        <tpls c="5">
          <tpl fld="0" item="3"/>
          <tpl hier="5" item="9"/>
          <tpl hier="7" item="1"/>
          <tpl hier="9" item="2"/>
          <tpl hier="13" item="3"/>
        </tpls>
      </n>
      <n v="458.15000000000003" in="0">
        <tpls c="5">
          <tpl fld="0" item="0"/>
          <tpl hier="5" item="10"/>
          <tpl hier="7" item="1"/>
          <tpl hier="9" item="2"/>
          <tpl hier="13" item="3"/>
        </tpls>
      </n>
      <n v="43.010000000000005" in="0">
        <tpls c="5">
          <tpl fld="0" item="1"/>
          <tpl hier="5" item="10"/>
          <tpl hier="7" item="1"/>
          <tpl hier="9" item="2"/>
          <tpl hier="13" item="3"/>
        </tpls>
      </n>
      <n v="2445" in="1">
        <tpls c="5">
          <tpl fld="0" item="4"/>
          <tpl hier="5" item="10"/>
          <tpl hier="7" item="1"/>
          <tpl hier="9" item="2"/>
          <tpl hier="13" item="3"/>
        </tpls>
      </n>
      <n v="138.55000000000001" in="0">
        <tpls c="5">
          <tpl fld="0" item="2"/>
          <tpl hier="5" item="10"/>
          <tpl hier="7" item="1"/>
          <tpl hier="9" item="2"/>
          <tpl hier="13" item="3"/>
        </tpls>
      </n>
      <n v="4572.1500000000005" in="0">
        <tpls c="5">
          <tpl fld="0" item="3"/>
          <tpl hier="5" item="10"/>
          <tpl hier="7" item="1"/>
          <tpl hier="9" item="2"/>
          <tpl hier="13" item="3"/>
        </tpls>
      </n>
      <n v="541.62" in="0">
        <tpls c="5">
          <tpl fld="0" item="0"/>
          <tpl hier="5" item="0"/>
          <tpl hier="7" item="11"/>
          <tpl hier="9" item="2"/>
          <tpl hier="13" item="3"/>
        </tpls>
      </n>
      <n v="35.4" in="0">
        <tpls c="5">
          <tpl fld="0" item="1"/>
          <tpl hier="5" item="0"/>
          <tpl hier="7" item="11"/>
          <tpl hier="9" item="2"/>
          <tpl hier="13" item="3"/>
        </tpls>
      </n>
      <n v="5841" in="1">
        <tpls c="5">
          <tpl fld="0" item="4"/>
          <tpl hier="5" item="0"/>
          <tpl hier="7" item="11"/>
          <tpl hier="9" item="2"/>
          <tpl hier="13" item="3"/>
        </tpls>
      </n>
      <n v="112.08053191489361" in="0">
        <tpls c="5">
          <tpl fld="0" item="2"/>
          <tpl hier="5" item="0"/>
          <tpl hier="7" item="11"/>
          <tpl hier="9" item="2"/>
          <tpl hier="13" item="3"/>
        </tpls>
      </n>
      <n v="10535.57" in="0">
        <tpls c="5">
          <tpl fld="0" item="3"/>
          <tpl hier="5" item="0"/>
          <tpl hier="7" item="11"/>
          <tpl hier="9" item="2"/>
          <tpl hier="13" item="3"/>
        </tpls>
      </n>
      <n v="817.92" in="0">
        <tpls c="5">
          <tpl fld="0" item="0"/>
          <tpl hier="5" item="0"/>
          <tpl hier="7" item="12"/>
          <tpl hier="9" item="2"/>
          <tpl hier="13" item="3"/>
        </tpls>
      </n>
      <n v="43.010000000000005" in="0">
        <tpls c="5">
          <tpl fld="0" item="1"/>
          <tpl hier="5" item="0"/>
          <tpl hier="7" item="12"/>
          <tpl hier="9" item="2"/>
          <tpl hier="13" item="3"/>
        </tpls>
      </n>
      <n v="7464" in="1">
        <tpls c="5">
          <tpl fld="0" item="4"/>
          <tpl hier="5" item="0"/>
          <tpl hier="7" item="12"/>
          <tpl hier="9" item="2"/>
          <tpl hier="13" item="3"/>
        </tpls>
      </n>
      <n v="181.18326315789474" in="0">
        <tpls c="5">
          <tpl fld="0" item="2"/>
          <tpl hier="5" item="0"/>
          <tpl hier="7" item="12"/>
          <tpl hier="9" item="2"/>
          <tpl hier="13" item="3"/>
        </tpls>
      </n>
      <n v="17212.41" in="0">
        <tpls c="5">
          <tpl fld="0" item="3"/>
          <tpl hier="5" item="0"/>
          <tpl hier="7" item="12"/>
          <tpl hier="9" item="2"/>
          <tpl hier="13" item="3"/>
        </tpls>
      </n>
      <n v="520.01" in="0">
        <tpls c="5">
          <tpl fld="0" item="0"/>
          <tpl hier="5" item="0"/>
          <tpl hier="7" item="13"/>
          <tpl hier="9" item="2"/>
          <tpl hier="13" item="3"/>
        </tpls>
      </n>
      <n v="69.800000000000011" in="0">
        <tpls c="5">
          <tpl fld="0" item="1"/>
          <tpl hier="5" item="0"/>
          <tpl hier="7" item="13"/>
          <tpl hier="9" item="2"/>
          <tpl hier="13" item="3"/>
        </tpls>
      </n>
      <n v="957" in="1">
        <tpls c="5">
          <tpl fld="0" item="4"/>
          <tpl hier="5" item="0"/>
          <tpl hier="7" item="13"/>
          <tpl hier="9" item="2"/>
          <tpl hier="13" item="3"/>
        </tpls>
      </n>
      <n v="128.45884615384614" in="0">
        <tpls c="5">
          <tpl fld="0" item="2"/>
          <tpl hier="5" item="0"/>
          <tpl hier="7" item="13"/>
          <tpl hier="9" item="2"/>
          <tpl hier="13" item="3"/>
        </tpls>
      </n>
      <n v="3339.93" in="0">
        <tpls c="5">
          <tpl fld="0" item="3"/>
          <tpl hier="5" item="0"/>
          <tpl hier="7" item="13"/>
          <tpl hier="9" item="2"/>
          <tpl hier="13" item="3"/>
        </tpls>
      </n>
      <n v="225.12" in="0">
        <tpls c="5">
          <tpl fld="0" item="0"/>
          <tpl hier="5" item="0"/>
          <tpl hier="7" item="14"/>
          <tpl hier="9" item="2"/>
          <tpl hier="13" item="3"/>
        </tpls>
      </n>
      <n v="33.6" in="0">
        <tpls c="5">
          <tpl fld="0" item="1"/>
          <tpl hier="5" item="0"/>
          <tpl hier="7" item="14"/>
          <tpl hier="9" item="2"/>
          <tpl hier="13" item="3"/>
        </tpls>
      </n>
      <n v="1180" in="1">
        <tpls c="5">
          <tpl fld="0" item="4"/>
          <tpl hier="5" item="0"/>
          <tpl hier="7" item="14"/>
          <tpl hier="9" item="2"/>
          <tpl hier="13" item="3"/>
        </tpls>
      </n>
      <n v="77.161034482758623" in="0">
        <tpls c="5">
          <tpl fld="0" item="2"/>
          <tpl hier="5" item="0"/>
          <tpl hier="7" item="14"/>
          <tpl hier="9" item="2"/>
          <tpl hier="13" item="3"/>
        </tpls>
      </n>
      <n v="2237.67" in="0">
        <tpls c="5">
          <tpl fld="0" item="3"/>
          <tpl hier="5" item="0"/>
          <tpl hier="7" item="14"/>
          <tpl hier="9" item="2"/>
          <tpl hier="13" item="3"/>
        </tpls>
      </n>
      <n v="548.12" in="0">
        <tpls c="5">
          <tpl fld="0" item="0"/>
          <tpl hier="5" item="0"/>
          <tpl hier="7" item="1"/>
          <tpl hier="9" item="15"/>
          <tpl hier="13" item="3"/>
        </tpls>
      </n>
      <n v="33.6" in="0">
        <tpls c="5">
          <tpl fld="0" item="1"/>
          <tpl hier="5" item="0"/>
          <tpl hier="7" item="1"/>
          <tpl hier="9" item="15"/>
          <tpl hier="13" item="3"/>
        </tpls>
      </n>
      <n v="9656" in="1">
        <tpls c="5">
          <tpl fld="0" item="4"/>
          <tpl hier="5" item="0"/>
          <tpl hier="7" item="1"/>
          <tpl hier="9" item="15"/>
          <tpl hier="13" item="3"/>
        </tpls>
      </n>
      <n v="143.49573333333336" in="0">
        <tpls c="5">
          <tpl fld="0" item="2"/>
          <tpl hier="5" item="0"/>
          <tpl hier="7" item="1"/>
          <tpl hier="9" item="15"/>
          <tpl hier="13" item="3"/>
        </tpls>
      </n>
      <n v="21524.360000000004" in="0">
        <tpls c="5">
          <tpl fld="0" item="3"/>
          <tpl hier="5" item="0"/>
          <tpl hier="7" item="1"/>
          <tpl hier="9" item="15"/>
          <tpl hier="13" item="3"/>
        </tpls>
      </n>
      <n v="817.92" in="0">
        <tpls c="5">
          <tpl fld="0" item="0"/>
          <tpl hier="5" item="0"/>
          <tpl hier="7" item="1"/>
          <tpl hier="9" item="16"/>
          <tpl hier="13" item="3"/>
        </tpls>
      </n>
      <n v="35.4" in="0">
        <tpls c="5">
          <tpl fld="0" item="1"/>
          <tpl hier="5" item="0"/>
          <tpl hier="7" item="1"/>
          <tpl hier="9" item="16"/>
          <tpl hier="13" item="3"/>
        </tpls>
      </n>
      <n v="5786" in="1">
        <tpls c="5">
          <tpl fld="0" item="4"/>
          <tpl hier="5" item="0"/>
          <tpl hier="7" item="1"/>
          <tpl hier="9" item="16"/>
          <tpl hier="13" item="3"/>
        </tpls>
      </n>
      <n v="125.54489361702127" in="0">
        <tpls c="5">
          <tpl fld="0" item="2"/>
          <tpl hier="5" item="0"/>
          <tpl hier="7" item="1"/>
          <tpl hier="9" item="16"/>
          <tpl hier="13" item="3"/>
        </tpls>
      </n>
      <n v="11801.22" in="0">
        <tpls c="5">
          <tpl fld="0" item="3"/>
          <tpl hier="5" item="0"/>
          <tpl hier="7" item="1"/>
          <tpl hier="9" item="16"/>
          <tpl hier="13" item="3"/>
        </tpls>
      </n>
      <n v="36.450000000000003" in="0">
        <tpls c="5">
          <tpl fld="0" item="1"/>
          <tpl hier="5" item="0"/>
          <tpl hier="7" item="1"/>
          <tpl hier="9" item="15"/>
          <tpl hier="13" item="4"/>
        </tpls>
      </n>
      <n v="5422" in="1">
        <tpls c="5">
          <tpl fld="0" item="4"/>
          <tpl hier="5" item="0"/>
          <tpl hier="7" item="1"/>
          <tpl hier="9" item="15"/>
          <tpl hier="13" item="4"/>
        </tpls>
      </n>
      <n v="159.43013157894737" in="0">
        <tpls c="5">
          <tpl fld="0" item="2"/>
          <tpl hier="5" item="0"/>
          <tpl hier="7" item="1"/>
          <tpl hier="9" item="15"/>
          <tpl hier="13" item="4"/>
        </tpls>
      </n>
      <n v="12116.69" in="0">
        <tpls c="5">
          <tpl fld="0" item="3"/>
          <tpl hier="5" item="0"/>
          <tpl hier="7" item="1"/>
          <tpl hier="9" item="15"/>
          <tpl hier="13" item="4"/>
        </tpls>
      </n>
      <n v="548.12" in="0">
        <tpls c="5">
          <tpl fld="0" item="0"/>
          <tpl hier="5" item="0"/>
          <tpl hier="7" item="1"/>
          <tpl hier="9" item="15"/>
          <tpl hier="13" item="4"/>
        </tpls>
      </n>
      <n v="33.6" in="0">
        <tpls c="5">
          <tpl fld="0" item="1"/>
          <tpl hier="5" item="0"/>
          <tpl hier="7" item="1"/>
          <tpl hier="9" item="15"/>
          <tpl hier="13" item="5"/>
        </tpls>
      </n>
      <n v="4234" in="1">
        <tpls c="5">
          <tpl fld="0" item="4"/>
          <tpl hier="5" item="0"/>
          <tpl hier="7" item="1"/>
          <tpl hier="9" item="15"/>
          <tpl hier="13" item="5"/>
        </tpls>
      </n>
      <n v="127.13067567567563" in="0">
        <tpls c="5">
          <tpl fld="0" item="2"/>
          <tpl hier="5" item="0"/>
          <tpl hier="7" item="1"/>
          <tpl hier="9" item="15"/>
          <tpl hier="13" item="5"/>
        </tpls>
      </n>
      <n v="9407.6699999999964" in="0">
        <tpls c="5">
          <tpl fld="0" item="3"/>
          <tpl hier="5" item="0"/>
          <tpl hier="7" item="1"/>
          <tpl hier="9" item="15"/>
          <tpl hier="13" item="5"/>
        </tpls>
      </n>
      <n v="458.15000000000003" in="0">
        <tpls c="5">
          <tpl fld="0" item="0"/>
          <tpl hier="5" item="0"/>
          <tpl hier="7" item="1"/>
          <tpl hier="9" item="15"/>
          <tpl hier="13" item="5"/>
        </tpls>
      </n>
      <n v="35.4" in="0">
        <tpls c="5">
          <tpl fld="0" item="1"/>
          <tpl hier="5" item="0"/>
          <tpl hier="7" item="1"/>
          <tpl hier="9" item="16"/>
          <tpl hier="13" item="4"/>
        </tpls>
      </n>
      <n v="2903" in="1">
        <tpls c="5">
          <tpl fld="0" item="4"/>
          <tpl hier="5" item="0"/>
          <tpl hier="7" item="1"/>
          <tpl hier="9" item="16"/>
          <tpl hier="13" item="4"/>
        </tpls>
      </n>
      <n v="127.65152173913042" in="0">
        <tpls c="5">
          <tpl fld="0" item="2"/>
          <tpl hier="5" item="0"/>
          <tpl hier="7" item="1"/>
          <tpl hier="9" item="16"/>
          <tpl hier="13" item="4"/>
        </tpls>
      </n>
      <n v="5871.9699999999993" in="0">
        <tpls c="5">
          <tpl fld="0" item="3"/>
          <tpl hier="5" item="0"/>
          <tpl hier="7" item="1"/>
          <tpl hier="9" item="16"/>
          <tpl hier="13" item="4"/>
        </tpls>
      </n>
      <n v="817.92" in="0">
        <tpls c="5">
          <tpl fld="0" item="0"/>
          <tpl hier="5" item="0"/>
          <tpl hier="7" item="1"/>
          <tpl hier="9" item="16"/>
          <tpl hier="13" item="4"/>
        </tpls>
      </n>
      <n v="35.4" in="0">
        <tpls c="5">
          <tpl fld="0" item="1"/>
          <tpl hier="5" item="0"/>
          <tpl hier="7" item="1"/>
          <tpl hier="9" item="16"/>
          <tpl hier="13" item="5"/>
        </tpls>
      </n>
      <n v="2883" in="1">
        <tpls c="5">
          <tpl fld="0" item="4"/>
          <tpl hier="5" item="0"/>
          <tpl hier="7" item="1"/>
          <tpl hier="9" item="16"/>
          <tpl hier="13" item="5"/>
        </tpls>
      </n>
      <n v="123.52604166666667" in="0">
        <tpls c="5">
          <tpl fld="0" item="2"/>
          <tpl hier="5" item="0"/>
          <tpl hier="7" item="1"/>
          <tpl hier="9" item="16"/>
          <tpl hier="13" item="5"/>
        </tpls>
      </n>
      <n v="5929.25" in="0">
        <tpls c="5">
          <tpl fld="0" item="3"/>
          <tpl hier="5" item="0"/>
          <tpl hier="7" item="1"/>
          <tpl hier="9" item="16"/>
          <tpl hier="13" item="5"/>
        </tpls>
      </n>
      <n v="433.84000000000003" in="0">
        <tpls c="5">
          <tpl fld="0" item="0"/>
          <tpl hier="5" item="0"/>
          <tpl hier="7" item="1"/>
          <tpl hier="9" item="16"/>
          <tpl hier="13" item="5"/>
        </tpls>
      </n>
      <n v="35.4" in="0">
        <tpls c="5">
          <tpl fld="0" item="1"/>
          <tpl hier="5" item="0"/>
          <tpl hier="7" item="11"/>
          <tpl hier="9" item="2"/>
          <tpl hier="13" item="4"/>
        </tpls>
      </n>
      <n v="3199" in="1">
        <tpls c="5">
          <tpl fld="0" item="4"/>
          <tpl hier="5" item="0"/>
          <tpl hier="7" item="11"/>
          <tpl hier="9" item="2"/>
          <tpl hier="13" item="4"/>
        </tpls>
      </n>
      <n v="124.96804347826088" in="0">
        <tpls c="5">
          <tpl fld="0" item="2"/>
          <tpl hier="5" item="0"/>
          <tpl hier="7" item="11"/>
          <tpl hier="9" item="2"/>
          <tpl hier="13" item="4"/>
        </tpls>
      </n>
      <n v="5748.5300000000007" in="0">
        <tpls c="5">
          <tpl fld="0" item="3"/>
          <tpl hier="5" item="0"/>
          <tpl hier="7" item="11"/>
          <tpl hier="9" item="2"/>
          <tpl hier="13" item="4"/>
        </tpls>
      </n>
      <n v="541.62" in="0">
        <tpls c="5">
          <tpl fld="0" item="0"/>
          <tpl hier="5" item="0"/>
          <tpl hier="7" item="11"/>
          <tpl hier="9" item="2"/>
          <tpl hier="13" item="4"/>
        </tpls>
      </n>
      <n v="57.970000000000006" in="0">
        <tpls c="5">
          <tpl fld="0" item="1"/>
          <tpl hier="5" item="0"/>
          <tpl hier="7" item="12"/>
          <tpl hier="9" item="2"/>
          <tpl hier="13" item="4"/>
        </tpls>
      </n>
      <n v="3623" in="1">
        <tpls c="5">
          <tpl fld="0" item="4"/>
          <tpl hier="5" item="0"/>
          <tpl hier="7" item="12"/>
          <tpl hier="9" item="2"/>
          <tpl hier="13" item="4"/>
        </tpls>
      </n>
      <n v="190.81318181818185" in="0">
        <tpls c="5">
          <tpl fld="0" item="2"/>
          <tpl hier="5" item="0"/>
          <tpl hier="7" item="12"/>
          <tpl hier="9" item="2"/>
          <tpl hier="13" item="4"/>
        </tpls>
      </n>
      <n v="8395.7800000000007" in="0">
        <tpls c="5">
          <tpl fld="0" item="3"/>
          <tpl hier="5" item="0"/>
          <tpl hier="7" item="12"/>
          <tpl hier="9" item="2"/>
          <tpl hier="13" item="4"/>
        </tpls>
      </n>
      <n v="817.92" in="0">
        <tpls c="5">
          <tpl fld="0" item="0"/>
          <tpl hier="5" item="0"/>
          <tpl hier="7" item="12"/>
          <tpl hier="9" item="2"/>
          <tpl hier="13" item="4"/>
        </tpls>
      </n>
      <n v="69.800000000000011" in="0">
        <tpls c="5">
          <tpl fld="0" item="1"/>
          <tpl hier="5" item="0"/>
          <tpl hier="7" item="13"/>
          <tpl hier="9" item="2"/>
          <tpl hier="13" item="4"/>
        </tpls>
      </n>
      <n v="717" in="1">
        <tpls c="5">
          <tpl fld="0" item="4"/>
          <tpl hier="5" item="0"/>
          <tpl hier="7" item="13"/>
          <tpl hier="9" item="2"/>
          <tpl hier="13" item="4"/>
        </tpls>
      </n>
      <n v="147.19588235294117" in="0">
        <tpls c="5">
          <tpl fld="0" item="2"/>
          <tpl hier="5" item="0"/>
          <tpl hier="7" item="13"/>
          <tpl hier="9" item="2"/>
          <tpl hier="13" item="4"/>
        </tpls>
      </n>
      <n v="2502.33" in="0">
        <tpls c="5">
          <tpl fld="0" item="3"/>
          <tpl hier="5" item="0"/>
          <tpl hier="7" item="13"/>
          <tpl hier="9" item="2"/>
          <tpl hier="13" item="4"/>
        </tpls>
      </n>
      <n v="520.01" in="0">
        <tpls c="5">
          <tpl fld="0" item="0"/>
          <tpl hier="5" item="0"/>
          <tpl hier="7" item="13"/>
          <tpl hier="9" item="2"/>
          <tpl hier="13" item="4"/>
        </tpls>
      </n>
      <n v="36.450000000000003" in="0">
        <tpls c="5">
          <tpl fld="0" item="1"/>
          <tpl hier="5" item="0"/>
          <tpl hier="7" item="14"/>
          <tpl hier="9" item="2"/>
          <tpl hier="13" item="4"/>
        </tpls>
      </n>
      <n v="786" in="1">
        <tpls c="5">
          <tpl fld="0" item="4"/>
          <tpl hier="5" item="0"/>
          <tpl hier="7" item="14"/>
          <tpl hier="9" item="2"/>
          <tpl hier="13" item="4"/>
        </tpls>
      </n>
      <n v="89.468000000000018" in="0">
        <tpls c="5">
          <tpl fld="0" item="2"/>
          <tpl hier="5" item="0"/>
          <tpl hier="7" item="14"/>
          <tpl hier="9" item="2"/>
          <tpl hier="13" item="4"/>
        </tpls>
      </n>
      <n v="1342.0200000000002" in="0">
        <tpls c="5">
          <tpl fld="0" item="3"/>
          <tpl hier="5" item="0"/>
          <tpl hier="7" item="14"/>
          <tpl hier="9" item="2"/>
          <tpl hier="13" item="4"/>
        </tpls>
      </n>
      <n v="225.12" in="0">
        <tpls c="5">
          <tpl fld="0" item="0"/>
          <tpl hier="5" item="0"/>
          <tpl hier="7" item="14"/>
          <tpl hier="9" item="2"/>
          <tpl hier="13" item="4"/>
        </tpls>
      </n>
    </entries>
    <sets count="17">
      <set count="1" maxRank="1" setDefinition="{[product].[Product].[All]}">
        <tpls c="1">
          <tpl hier="5" item="4294967295"/>
        </tpls>
      </set>
      <set count="1" maxRank="1" setDefinition="{[product_category].[Product_Category].[All]}">
        <tpls c="1">
          <tpl hier="7" item="4294967295"/>
        </tpls>
      </set>
      <set count="1" maxRank="1" setDefinition="{[region].[Region].[All]}">
        <tpls c="1">
          <tpl hier="9" item="4294967295"/>
        </tpls>
      </set>
      <set count="1" maxRank="1" setDefinition="{[sales_inventory].[Year].[All]}">
        <tpls c="1">
          <tpl hier="13" item="4294967295"/>
        </tpls>
      </set>
      <set count="1" maxRank="1" setDefinition="{[sales_inventory].[Year].&amp;[2.022E3]}">
        <tpls c="1">
          <tpl fld="1" item="0"/>
        </tpls>
      </set>
      <set count="1" maxRank="1" setDefinition="{[sales_inventory].[Year].&amp;[2.023E3]}">
        <tpls c="1">
          <tpl fld="1" item="1"/>
        </tpls>
      </set>
      <set count="1" maxRank="1" setDefinition="{[product].[Product].&amp;[Arrowroot]}">
        <tpls c="1">
          <tpl fld="2" item="0"/>
        </tpls>
      </set>
      <set count="1" maxRank="1" setDefinition="{[product].[Product].&amp;[Banana]}">
        <tpls c="1">
          <tpl fld="2" item="1"/>
        </tpls>
      </set>
      <set count="1" maxRank="1" setDefinition="{[product].[Product].&amp;[Bran]}">
        <tpls c="1">
          <tpl fld="2" item="2"/>
        </tpls>
      </set>
      <set count="1" maxRank="1" setDefinition="{[product].[Product].&amp;[Carrot]}">
        <tpls c="1">
          <tpl fld="2" item="3"/>
        </tpls>
      </set>
      <set count="1" maxRank="1" setDefinition="{[product].[Product].&amp;[Chocolate Chip]}">
        <tpls c="1">
          <tpl fld="2" item="4"/>
        </tpls>
      </set>
      <set count="1" maxRank="1" setDefinition="{[product_category].[Product_Category].&amp;[Bars]}">
        <tpls c="1">
          <tpl fld="3" item="0"/>
        </tpls>
      </set>
      <set count="1" maxRank="1" setDefinition="{[product_category].[Product_Category].&amp;[Cookies]}">
        <tpls c="1">
          <tpl fld="3" item="1"/>
        </tpls>
      </set>
      <set count="1" maxRank="1" setDefinition="{[product_category].[Product_Category].&amp;[Crackers]}">
        <tpls c="1">
          <tpl fld="3" item="2"/>
        </tpls>
      </set>
      <set count="1" maxRank="1" setDefinition="{[product_category].[Product_Category].&amp;[Snacks]}">
        <tpls c="1">
          <tpl fld="3" item="3"/>
        </tpls>
      </set>
      <set count="1" maxRank="1" setDefinition="{[region].[Region].&amp;[East]}">
        <tpls c="1">
          <tpl fld="4" item="0"/>
        </tpls>
      </set>
      <set count="1" maxRank="1" setDefinition="{[region].[Region].&amp;[West]}">
        <tpls c="1">
          <tpl fld="4" item="1"/>
        </tpls>
      </set>
    </sets>
    <queryCache count="5">
      <query mdx="[Measures].[Maximum Revenue]]">
        <tpls c="1">
          <tpl fld="0" item="0"/>
        </tpls>
      </query>
      <query mdx="[Measures].[Minimum Revenue]]">
        <tpls c="1">
          <tpl fld="0" item="1"/>
        </tpls>
      </query>
      <query mdx="[Measures].[Average Revenue]]">
        <tpls c="1">
          <tpl fld="0" item="2"/>
        </tpls>
      </query>
      <query mdx="[Measures].[Total Revenue]]">
        <tpls c="1">
          <tpl fld="0" item="3"/>
        </tpls>
      </query>
      <query mdx="[Measures].[Total Quantity]">
        <tpls c="1">
          <tpl fld="0" item="4"/>
        </tpls>
      </query>
    </queryCache>
    <serverFormats count="2">
      <serverFormat format="\$#,0;(\$#,0);\$#,0"/>
      <serverFormat format="#,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28472223" createdVersion="5" refreshedVersion="8" minRefreshableVersion="3" recordCount="0" supportSubquery="1" supportAdvancedDrill="1" xr:uid="{BD5AABE0-2CA6-48E5-BB9C-8C71E54863FD}">
  <cacheSource type="external" connectionId="2"/>
  <cacheFields count="4">
    <cacheField name="[sales_inventory].[Product].[Product]" caption="Product" numFmtId="0" hierarchy="17" level="1">
      <sharedItems count="9">
        <s v="Arrowroot"/>
        <s v="Banana"/>
        <s v="Bran"/>
        <s v="Carrot"/>
        <s v="Chocolate Chip"/>
        <s v="Oatmeal Raisin"/>
        <s v="Potato Chips"/>
        <s v="Pretzels"/>
        <s v="Whole Wheat"/>
      </sharedItems>
    </cacheField>
    <cacheField name="[Measures].[Total Revenue]" caption="Total Revenue" numFmtId="0" hierarchy="26" level="32767"/>
    <cacheField name="[sales_inventory].[Year].[Year]" caption="Year" numFmtId="0" hierarchy="12" level="1">
      <sharedItems containsSemiMixedTypes="0" containsString="0" containsNumber="1" containsInteger="1" minValue="2022" maxValue="2023" count="2">
        <n v="2022"/>
        <n v="2023"/>
      </sharedItems>
    </cacheField>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2" memberValueDatatype="5" unbalanced="0"/>
    <cacheHierarchy uniqueName="[date].[Month]" caption="Month" attribute="1" defaultMemberUniqueName="[date].[Month].[All]" allUniqueName="[date].[Month].[All]" dimensionUniqueName="[date]" displayFolder="" count="2" memberValueDatatype="5" unbalanced="0"/>
    <cacheHierarchy uniqueName="[date].[Month Name]" caption="Month Name" attribute="1" defaultMemberUniqueName="[date].[Month Name].[All]" allUniqueName="[date].[Month Name].[All]" dimensionUniqueName="[date]" displayFolder="" count="2" memberValueDatatype="130"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2"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2"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inventory].[ID]" caption="ID" attribute="1" defaultMemberUniqueName="[sales_inventory].[ID].[All]" allUniqueName="[sales_inventory].[ID].[All]" dimensionUniqueName="[sales_inventory]" displayFolder="" count="2" memberValueDatatype="130" unbalanced="0"/>
    <cacheHierarchy uniqueName="[sales_inventory].[Month]" caption="Month" attribute="1" defaultMemberUniqueName="[sales_inventory].[Month].[All]" allUniqueName="[sales_inventory].[Month].[All]" dimensionUniqueName="[sales_inventory]" displayFolder="" count="2" memberValueDatatype="5" unbalanced="0"/>
    <cacheHierarchy uniqueName="[sales_inventory].[Week Day]" caption="Week Day" attribute="1" defaultMemberUniqueName="[sales_inventory].[Week Day].[All]" allUniqueName="[sales_inventory].[Week Day].[All]" dimensionUniqueName="[sales_inventory]" displayFolder="" count="2" memberValueDatatype="5" unbalanced="0"/>
    <cacheHierarchy uniqueName="[sales_inventory].[Year]" caption="Year" attribute="1" defaultMemberUniqueName="[sales_inventory].[Year].[All]" allUniqueName="[sales_inventory].[Year].[All]" dimensionUniqueName="[sales_inventory]" displayFolder="" count="2" memberValueDatatype="5" unbalanced="0">
      <fieldsUsage count="2">
        <fieldUsage x="-1"/>
        <fieldUsage x="2"/>
      </fieldsUsage>
    </cacheHierarchy>
    <cacheHierarchy uniqueName="[sales_inventory].[Month Name]" caption="Month Name" attribute="1" defaultMemberUniqueName="[sales_inventory].[Month Name].[All]" allUniqueName="[sales_inventory].[Month Name].[All]" dimensionUniqueName="[sales_inventory]" displayFolder="" count="2" memberValueDatatype="130" unbalanced="0"/>
    <cacheHierarchy uniqueName="[sales_inventory].[Region]" caption="Region" attribute="1" defaultMemberUniqueName="[sales_inventory].[Region].[All]" allUniqueName="[sales_inventory].[Region].[All]" dimensionUniqueName="[sales_inventory]" displayFolder="" count="2" memberValueDatatype="130" unbalanced="0"/>
    <cacheHierarchy uniqueName="[sales_inventory].[State]" caption="State" attribute="1" defaultMemberUniqueName="[sales_inventory].[State].[All]" allUniqueName="[sales_inventory].[State].[All]" dimensionUniqueName="[sales_inventory]" displayFolder="" count="2"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2"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2" memberValueDatatype="5" unbalanced="0"/>
    <cacheHierarchy uniqueName="[sales_inventory].[Unit_Price]" caption="Unit_Price" attribute="1" defaultMemberUniqueName="[sales_inventory].[Unit_Price].[All]" allUniqueName="[sales_inventory].[Unit_Price].[All]" dimensionUniqueName="[sales_inventory]" displayFolder="" count="2" memberValueDatatype="5" unbalanced="0"/>
    <cacheHierarchy uniqueName="[sales_inventory].[Revenue]" caption="Revenue" attribute="1" defaultMemberUniqueName="[sales_inventory].[Revenue].[All]" allUniqueName="[sales_inventory].[Revenue].[All]" dimensionUniqueName="[sales_inventory]" displayFolder="" count="2"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2" memberValueDatatype="130" unbalanced="0"/>
    <cacheHierarchy uniqueName="[state].[State ID]" caption="State ID" attribute="1" defaultMemberUniqueName="[state].[State ID].[All]" allUniqueName="[state].[State ID].[All]" dimensionUniqueName="[state]" displayFolder="" count="2" memberValueDatatype="130" unbalanced="0"/>
    <cacheHierarchy uniqueName="[state].[State]" caption="State" attribute="1" defaultMemberUniqueName="[state].[State].[All]" allUniqueName="[state].[State].[All]" dimensionUniqueName="[state]" displayFolder="" count="2"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0092593" createdVersion="5" refreshedVersion="8" minRefreshableVersion="3" recordCount="0" supportSubquery="1" supportAdvancedDrill="1" xr:uid="{594FE4B2-5692-4B7A-AB29-CDAD1F5EC67B}">
  <cacheSource type="external" connectionId="2"/>
  <cacheFields count="3">
    <cacheField name="[sales_inventory].[Product].[Product]" caption="Product" numFmtId="0" hierarchy="17" level="1">
      <sharedItems count="4">
        <s v="Arrowroot"/>
        <s v="Carrot"/>
        <s v="Chocolate Chip"/>
        <s v="Oatmeal Raisin"/>
      </sharedItems>
    </cacheField>
    <cacheField name="[Measures].[Total Revenue]" caption="Total Revenue" numFmtId="0" hierarchy="26"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0902779" createdVersion="5" refreshedVersion="8" minRefreshableVersion="3" recordCount="0" supportSubquery="1" supportAdvancedDrill="1" xr:uid="{0AD010A1-2A5A-434B-80AE-C4B1FD93CD8C}">
  <cacheSource type="external" connectionId="2"/>
  <cacheFields count="3">
    <cacheField name="[sales_inventory].[Product].[Product]" caption="Product" numFmtId="0" hierarchy="17" level="1">
      <sharedItems count="9">
        <s v="Arrowroot"/>
        <s v="Banana"/>
        <s v="Bran"/>
        <s v="Carrot"/>
        <s v="Chocolate Chip"/>
        <s v="Oatmeal Raisin"/>
        <s v="Potato Chips"/>
        <s v="Pretzels"/>
        <s v="Whole Wheat"/>
      </sharedItems>
    </cacheField>
    <cacheField name="[Measures].[Total Quantity]" caption="Total Quantity" numFmtId="0" hierarchy="25"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oneField="1">
      <fieldsUsage count="1">
        <fieldUsage x="1"/>
      </fieldsUsage>
    </cacheHierarchy>
    <cacheHierarchy uniqueName="[Measures].[Total Revenue]" caption="Total Revenue" measure="1" displayFolder="" measureGroup="sales_inventory" count="0"/>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1712964" createdVersion="5" refreshedVersion="8" minRefreshableVersion="3" recordCount="0" supportSubquery="1" supportAdvancedDrill="1" xr:uid="{E06B7163-5608-4FB7-A864-A0D851C65907}">
  <cacheSource type="external" connectionId="2"/>
  <cacheFields count="4">
    <cacheField name="[sales_inventory].[Year].[Year]" caption="Year" numFmtId="0" hierarchy="12" level="1">
      <sharedItems containsSemiMixedTypes="0" containsString="0" containsNumber="1" containsInteger="1" minValue="2022" maxValue="2023" count="2">
        <n v="2022"/>
        <n v="2023"/>
      </sharedItems>
    </cacheField>
    <cacheField name="[Measures].[Total Revenue]" caption="Total Revenue" numFmtId="0" hierarchy="26" level="32767"/>
    <cacheField name="[Measures].[Total Quantity]" caption="Total Quantity" numFmtId="0" hierarchy="25"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fieldsUsage count="2">
        <fieldUsage x="-1"/>
        <fieldUsage x="0"/>
      </fieldsUsage>
    </cacheHierarchy>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0" memberValueDatatype="130" unbalanced="0"/>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oneField="1">
      <fieldsUsage count="1">
        <fieldUsage x="2"/>
      </fieldsUsage>
    </cacheHierarchy>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2754626" createdVersion="5" refreshedVersion="8" minRefreshableVersion="3" recordCount="0" supportSubquery="1" supportAdvancedDrill="1" xr:uid="{021176CD-37E1-4EC6-B90A-1CCAEDC13C7A}">
  <cacheSource type="external" connectionId="2"/>
  <cacheFields count="4">
    <cacheField name="[Measures].[Total Revenue]" caption="Total Revenue" numFmtId="0" hierarchy="26" level="32767"/>
    <cacheField name="[sales_inventory].[Month Name].[Month Name]" caption="Month Name" numFmtId="0" hierarchy="13" level="1">
      <sharedItems count="12">
        <s v="April"/>
        <s v="August"/>
        <s v="December"/>
        <s v="February"/>
        <s v="January"/>
        <s v="July"/>
        <s v="June"/>
        <s v="March"/>
        <s v="May"/>
        <s v="November"/>
        <s v="October"/>
        <s v="September"/>
      </sharedItems>
    </cacheField>
    <cacheField name="[Measures].[Total Quantity]" caption="Total Quantity" numFmtId="0" hierarchy="25"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2" memberValueDatatype="130" unbalanced="0">
      <fieldsUsage count="2">
        <fieldUsage x="-1"/>
        <fieldUsage x="1"/>
      </fieldsUsage>
    </cacheHierarchy>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0" memberValueDatatype="130" unbalanced="0"/>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oneField="1">
      <fieldsUsage count="1">
        <fieldUsage x="2"/>
      </fieldsUsage>
    </cacheHierarchy>
    <cacheHierarchy uniqueName="[Measures].[Total Revenue]" caption="Total Revenue" measure="1" displayFolder="" measureGroup="sales_inventory" count="0" oneField="1">
      <fieldsUsage count="1">
        <fieldUsage x="0"/>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4143519" createdVersion="5" refreshedVersion="8" minRefreshableVersion="3" recordCount="0" supportSubquery="1" supportAdvancedDrill="1" xr:uid="{AB55F1D8-48FB-4750-B908-DAC921626397}">
  <cacheSource type="external" connectionId="2"/>
  <cacheFields count="4">
    <cacheField name="[sales_inventory].[State].[State]" caption="State" numFmtId="0" hierarchy="15" level="1">
      <sharedItems count="4">
        <s v="Boston"/>
        <s v="Los Angeles"/>
        <s v="New York"/>
        <s v="San Diego"/>
      </sharedItems>
    </cacheField>
    <cacheField name="[Measures].[Total Revenue]" caption="Total Revenue" numFmtId="0" hierarchy="26" level="32767"/>
    <cacheField name="[sales_inventory].[Product].[Product]" caption="Product" numFmtId="0" hierarchy="17" level="1">
      <sharedItems count="9">
        <s v="Arrowroot"/>
        <s v="Banana"/>
        <s v="Bran"/>
        <s v="Carrot"/>
        <s v="Chocolate Chip"/>
        <s v="Oatmeal Raisin"/>
        <s v="Potato Chips"/>
        <s v="Pretzels"/>
        <s v="Whole Wheat"/>
      </sharedItems>
    </cacheField>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2" memberValueDatatype="130" unbalanced="0"/>
    <cacheHierarchy uniqueName="[sales_inventory].[State]" caption="State" attribute="1" defaultMemberUniqueName="[sales_inventory].[State].[All]" allUniqueName="[sales_inventory].[State].[All]" dimensionUniqueName="[sales_inventory]" displayFolder="" count="2" memberValueDatatype="130" unbalanced="0">
      <fieldsUsage count="2">
        <fieldUsage x="-1"/>
        <fieldUsage x="0"/>
      </fieldsUsage>
    </cacheHierarchy>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2"/>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5763889" createdVersion="5" refreshedVersion="8" minRefreshableVersion="3" recordCount="0" supportSubquery="1" supportAdvancedDrill="1" xr:uid="{ECE25C6C-81B0-4B2A-BF6A-A3A21AF0F1E4}">
  <cacheSource type="external" connectionId="2"/>
  <cacheFields count="3">
    <cacheField name="[sales_inventory].[Product].[Product]" caption="Product" numFmtId="0" hierarchy="17" level="1">
      <sharedItems count="5">
        <s v="Banana"/>
        <s v="Bran"/>
        <s v="Potato Chips"/>
        <s v="Pretzels"/>
        <s v="Whole Wheat"/>
      </sharedItems>
    </cacheField>
    <cacheField name="[Measures].[Total Revenue]" caption="Total Revenue" numFmtId="0" hierarchy="26"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6574075" createdVersion="5" refreshedVersion="8" minRefreshableVersion="3" recordCount="0" supportSubquery="1" supportAdvancedDrill="1" xr:uid="{47BC58DC-12CA-45E1-917E-FA8CA988741E}">
  <cacheSource type="external" connectionId="2"/>
  <cacheFields count="4">
    <cacheField name="[sales_inventory].[Product].[Product]" caption="Product" numFmtId="0" hierarchy="17" level="1">
      <sharedItems count="9">
        <s v="Arrowroot"/>
        <s v="Banana"/>
        <s v="Bran"/>
        <s v="Carrot"/>
        <s v="Chocolate Chip"/>
        <s v="Oatmeal Raisin"/>
        <s v="Potato Chips"/>
        <s v="Pretzels"/>
        <s v="Whole Wheat"/>
      </sharedItems>
    </cacheField>
    <cacheField name="[sales_inventory].[State].[State]" caption="State" numFmtId="0" hierarchy="15" level="1">
      <sharedItems count="4">
        <s v="Boston"/>
        <s v="Los Angeles"/>
        <s v="New York"/>
        <s v="San Diego"/>
      </sharedItems>
    </cacheField>
    <cacheField name="[Measures].[Total Quantity]" caption="Total Quantity" numFmtId="0" hierarchy="25"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2" memberValueDatatype="130" unbalanced="0">
      <fieldsUsage count="2">
        <fieldUsage x="-1"/>
        <fieldUsage x="1"/>
      </fieldsUsage>
    </cacheHierarchy>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oneField="1">
      <fieldsUsage count="1">
        <fieldUsage x="2"/>
      </fieldsUsage>
    </cacheHierarchy>
    <cacheHierarchy uniqueName="[Measures].[Total Revenue]" caption="Total Revenue" measure="1" displayFolder="" measureGroup="sales_inventory" count="0"/>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738426" createdVersion="5" refreshedVersion="8" minRefreshableVersion="3" recordCount="0" supportSubquery="1" supportAdvancedDrill="1" xr:uid="{54828F15-6417-458C-9692-EC5D523A14D2}">
  <cacheSource type="external" connectionId="2"/>
  <cacheFields count="3">
    <cacheField name="[sales_inventory].[Region].[Region]" caption="Region" numFmtId="0" hierarchy="14" level="1">
      <sharedItems count="2">
        <s v="East"/>
        <s v="West"/>
      </sharedItems>
    </cacheField>
    <cacheField name="[Measures].[Total Revenue]" caption="Total Revenue" numFmtId="0" hierarchy="26"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2" memberValueDatatype="130" unbalanced="0">
      <fieldsUsage count="2">
        <fieldUsage x="-1"/>
        <fieldUsage x="0"/>
      </fieldsUsage>
    </cacheHierarchy>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53.885538078706" createdVersion="5" refreshedVersion="8" minRefreshableVersion="3" recordCount="0" supportSubquery="1" supportAdvancedDrill="1" xr:uid="{9F7F2E51-0BB1-4795-A0C2-E6C4A49B6A54}">
  <cacheSource type="external" connectionId="2"/>
  <cacheFields count="3">
    <cacheField name="[sales_inventory].[Product].[Product]" caption="Product" numFmtId="0" hierarchy="17" level="1">
      <sharedItems count="9">
        <s v="Arrowroot"/>
        <s v="Banana"/>
        <s v="Bran"/>
        <s v="Carrot"/>
        <s v="Chocolate Chip"/>
        <s v="Oatmeal Raisin"/>
        <s v="Potato Chips"/>
        <s v="Pretzels"/>
        <s v="Whole Wheat"/>
      </sharedItems>
    </cacheField>
    <cacheField name="[Measures].[Total Revenue]" caption="Total Revenue" numFmtId="0" hierarchy="26" level="32767"/>
    <cacheField name="[region].[Region].[Region]" caption="Region" numFmtId="0" hierarchy="8" level="1">
      <sharedItems containsSemiMixedTypes="0" containsNonDate="0" containsString="0"/>
    </cacheField>
  </cacheFields>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2" memberValueDatatype="130" unbalanced="0">
      <fieldsUsage count="2">
        <fieldUsage x="-1"/>
        <fieldUsage x="0"/>
      </fieldsUsage>
    </cacheHierarchy>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oneField="1">
      <fieldsUsage count="1">
        <fieldUsage x="1"/>
      </fieldsUsage>
    </cacheHierarchy>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dimensions count="7">
    <dimension name="date" uniqueName="[date]" caption="date"/>
    <dimension measure="1" name="Measures" uniqueName="[Measures]" caption="Measures"/>
    <dimension name="product" uniqueName="[product]" caption="product"/>
    <dimension name="product_category" uniqueName="[product_category]" caption="product_category"/>
    <dimension name="region" uniqueName="[region]" caption="region"/>
    <dimension name="sales_inventory" uniqueName="[sales_inventory]" caption="sales_inventory"/>
    <dimension name="state" uniqueName="[state]" caption="state"/>
  </dimensions>
  <measureGroups count="6">
    <measureGroup name="date" caption="date"/>
    <measureGroup name="product" caption="product"/>
    <measureGroup name="product_category" caption="product_category"/>
    <measureGroup name="region" caption="region"/>
    <measureGroup name="sales_inventory" caption="sales_inventory"/>
    <measureGroup name="state" caption="state"/>
  </measureGroups>
  <maps count="10">
    <map measureGroup="0" dimension="0"/>
    <map measureGroup="1" dimension="2"/>
    <map measureGroup="2" dimension="3"/>
    <map measureGroup="3" dimension="4"/>
    <map measureGroup="4" dimension="2"/>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43.641972800928" createdVersion="3" refreshedVersion="8" minRefreshableVersion="3" recordCount="0" supportSubquery="1" supportAdvancedDrill="1" xr:uid="{450A09DF-558E-448F-92FC-D12C12E92792}">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date].[Year]" caption="Year" attribute="1" defaultMemberUniqueName="[date].[Year].[All]" allUniqueName="[date].[Year].[All]" dimensionUniqueName="[date]" displayFolder="" count="0" memberValueDatatype="5" unbalanced="0"/>
    <cacheHierarchy uniqueName="[date].[Month]" caption="Month" attribute="1" defaultMemberUniqueName="[date].[Month].[All]" allUniqueName="[date].[Month].[All]" dimensionUniqueName="[date]" displayFolder="" count="0" memberValueDatatype="5" unbalanced="0"/>
    <cacheHierarchy uniqueName="[date].[Month Name]" caption="Month Name" attribute="1" defaultMemberUniqueName="[date].[Month Name].[All]" allUniqueName="[date].[Month Name].[All]" dimensionUniqueName="[date]"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_category].[Porduct Category ID]" caption="Porduct Category ID" attribute="1" defaultMemberUniqueName="[product_category].[Porduct Category ID].[All]" allUniqueName="[product_category].[Porduct Category ID].[All]" dimensionUniqueName="[product_category]" displayFolder="" count="0" memberValueDatatype="130" unbalanced="0"/>
    <cacheHierarchy uniqueName="[product_category].[Product_Category]" caption="Product_Category" attribute="1" defaultMemberUniqueName="[product_category].[Product_Category].[All]" allUniqueName="[product_category].[Product_Category].[All]" dimensionUniqueName="[product_category]" displayFolder="" count="2" memberValueDatatype="130" unbalanced="0"/>
    <cacheHierarchy uniqueName="[region].[Region ID]" caption="Region ID" attribute="1" defaultMemberUniqueName="[region].[Region ID].[All]" allUniqueName="[region].[Region ID].[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ales_inventory].[ID]" caption="ID" attribute="1" defaultMemberUniqueName="[sales_inventory].[ID].[All]" allUniqueName="[sales_inventory].[ID].[All]" dimensionUniqueName="[sales_inventory]" displayFolder="" count="0" memberValueDatatype="130" unbalanced="0"/>
    <cacheHierarchy uniqueName="[sales_inventory].[Month]" caption="Month" attribute="1" defaultMemberUniqueName="[sales_inventory].[Month].[All]" allUniqueName="[sales_inventory].[Month].[All]" dimensionUniqueName="[sales_inventory]" displayFolder="" count="0" memberValueDatatype="5" unbalanced="0"/>
    <cacheHierarchy uniqueName="[sales_inventory].[Week Day]" caption="Week Day" attribute="1" defaultMemberUniqueName="[sales_inventory].[Week Day].[All]" allUniqueName="[sales_inventory].[Week Day].[All]" dimensionUniqueName="[sales_inventory]" displayFolder="" count="0" memberValueDatatype="5" unbalanced="0"/>
    <cacheHierarchy uniqueName="[sales_inventory].[Year]" caption="Year" attribute="1" defaultMemberUniqueName="[sales_inventory].[Year].[All]" allUniqueName="[sales_inventory].[Year].[All]" dimensionUniqueName="[sales_inventory]" displayFolder="" count="2" memberValueDatatype="5" unbalanced="0"/>
    <cacheHierarchy uniqueName="[sales_inventory].[Month Name]" caption="Month Name" attribute="1" defaultMemberUniqueName="[sales_inventory].[Month Name].[All]" allUniqueName="[sales_inventory].[Month Name].[All]" dimensionUniqueName="[sales_inventory]" displayFolder="" count="0" memberValueDatatype="130" unbalanced="0"/>
    <cacheHierarchy uniqueName="[sales_inventory].[Region]" caption="Region" attribute="1" defaultMemberUniqueName="[sales_inventory].[Region].[All]" allUniqueName="[sales_inventory].[Region].[All]" dimensionUniqueName="[sales_inventory]" displayFolder="" count="0" memberValueDatatype="130" unbalanced="0"/>
    <cacheHierarchy uniqueName="[sales_inventory].[State]" caption="State" attribute="1" defaultMemberUniqueName="[sales_inventory].[State].[All]" allUniqueName="[sales_inventory].[State].[All]" dimensionUniqueName="[sales_inventory]" displayFolder="" count="0" memberValueDatatype="130" unbalanced="0"/>
    <cacheHierarchy uniqueName="[sales_inventory].[Product_Category]" caption="Product_Category" attribute="1" defaultMemberUniqueName="[sales_inventory].[Product_Category].[All]" allUniqueName="[sales_inventory].[Product_Category].[All]" dimensionUniqueName="[sales_inventory]" displayFolder="" count="0" memberValueDatatype="130" unbalanced="0"/>
    <cacheHierarchy uniqueName="[sales_inventory].[Product]" caption="Product" attribute="1" defaultMemberUniqueName="[sales_inventory].[Product].[All]" allUniqueName="[sales_inventory].[Product].[All]" dimensionUniqueName="[sales_inventory]" displayFolder="" count="0" memberValueDatatype="130" unbalanced="0"/>
    <cacheHierarchy uniqueName="[sales_inventory].[Quantity]" caption="Quantity" attribute="1" defaultMemberUniqueName="[sales_inventory].[Quantity].[All]" allUniqueName="[sales_inventory].[Quantity].[All]" dimensionUniqueName="[sales_inventory]" displayFolder="" count="0" memberValueDatatype="5" unbalanced="0"/>
    <cacheHierarchy uniqueName="[sales_inventory].[Unit_Price]" caption="Unit_Price" attribute="1" defaultMemberUniqueName="[sales_inventory].[Unit_Price].[All]" allUniqueName="[sales_inventory].[Unit_Price].[All]" dimensionUniqueName="[sales_inventory]" displayFolder="" count="0" memberValueDatatype="5" unbalanced="0"/>
    <cacheHierarchy uniqueName="[sales_inventory].[Revenue]" caption="Revenue" attribute="1" defaultMemberUniqueName="[sales_inventory].[Revenue].[All]" allUniqueName="[sales_inventory].[Revenue].[All]" dimensionUniqueName="[sales_inventory]" displayFolder="" count="0" memberValueDatatype="5" unbalanced="0"/>
    <cacheHierarchy uniqueName="[sales_inventory].[New Product Category]" caption="New Product Category" attribute="1" defaultMemberUniqueName="[sales_inventory].[New Product Category].[All]" allUniqueName="[sales_inventory].[New Product Category].[All]" dimensionUniqueName="[sales_inventory]" displayFolder="" count="0" memberValueDatatype="130" unbalanced="0"/>
    <cacheHierarchy uniqueName="[state].[State ID]" caption="State ID" attribute="1" defaultMemberUniqueName="[state].[State ID].[All]" allUniqueName="[state].[State ID].[All]" dimensionUniqueName="[state]" displayFolder="" count="0" memberValueDatatype="130" unbalanced="0"/>
    <cacheHierarchy uniqueName="[state].[State]" caption="State" attribute="1" defaultMemberUniqueName="[state].[State].[All]" allUniqueName="[state].[State].[All]" dimensionUniqueName="[state]" displayFolder="" count="0" memberValueDatatype="130" unbalanced="0"/>
    <cacheHierarchy uniqueName="[Measures].[Sum of Quantity]" caption="Sum of Quantity" measure="1" displayFolder="" measureGroup="sales_inventory" count="0">
      <extLst>
        <ext xmlns:x15="http://schemas.microsoft.com/office/spreadsheetml/2010/11/main" uri="{B97F6D7D-B522-45F9-BDA1-12C45D357490}">
          <x15:cacheHierarchy aggregatedColumn="18"/>
        </ext>
      </extLst>
    </cacheHierarchy>
    <cacheHierarchy uniqueName="[Measures].[Total Quantity]" caption="Total Quantity" measure="1" displayFolder="" measureGroup="sales_inventory" count="0"/>
    <cacheHierarchy uniqueName="[Measures].[Total Revenue]" caption="Total Revenue" measure="1" displayFolder="" measureGroup="sales_inventory" count="0"/>
    <cacheHierarchy uniqueName="[Measures].[Average Revenue]" caption="Average Revenue" measure="1" displayFolder="" measureGroup="sales_inventory" count="0"/>
    <cacheHierarchy uniqueName="[Measures].[Minimum Revenue]" caption="Minimum Revenue" measure="1" displayFolder="" measureGroup="sales_inventory" count="0"/>
    <cacheHierarchy uniqueName="[Measures].[Maximum Revenue]" caption="Maximum Revenue" measure="1" displayFolder="" measureGroup="sales_inventory" count="0"/>
    <cacheHierarchy uniqueName="[Measures].[__XL_Count date]" caption="__XL_Count date" measure="1" displayFolder="" measureGroup="date" count="0" hidden="1"/>
    <cacheHierarchy uniqueName="[Measures].[__XL_Count product]" caption="__XL_Count product" measure="1" displayFolder="" measureGroup="product" count="0" hidden="1"/>
    <cacheHierarchy uniqueName="[Measures].[__XL_Count product_category]" caption="__XL_Count product_category" measure="1" displayFolder="" measureGroup="product_category" count="0" hidden="1"/>
    <cacheHierarchy uniqueName="[Measures].[__XL_Count region]" caption="__XL_Count region" measure="1" displayFolder="" measureGroup="region" count="0" hidden="1"/>
    <cacheHierarchy uniqueName="[Measures].[__XL_Count sales_inventory]" caption="__XL_Count sales_inventory" measure="1" displayFolder="" measureGroup="sales_inventory" count="0" hidden="1"/>
    <cacheHierarchy uniqueName="[Measures].[__XL_Count state]" caption="__XL_Count state" measure="1" displayFolder="" measureGroup="st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04259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71BC2-CD14-486F-BC5B-38AA636BB90F}" name="PivotTable13" cacheId="1" applyNumberFormats="0" applyBorderFormats="0" applyFontFormats="0" applyPatternFormats="0" applyAlignmentFormats="0" applyWidthHeightFormats="1" dataCaption="Values" tag="722bb687-2278-4149-ae9c-91d3d8e6ec6b" updatedVersion="8" minRefreshableVersion="3" useAutoFormatting="1" subtotalHiddenItems="1" itemPrintTitles="1" createdVersion="5" indent="0" outline="1" outlineData="1" multipleFieldFilters="0" rowHeaderCaption="Product">
  <location ref="G25:J36"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3">
    <i>
      <x/>
    </i>
    <i>
      <x v="1"/>
    </i>
    <i t="grand">
      <x/>
    </i>
  </colItems>
  <dataFields count="1">
    <dataField fld="1" subtotal="count" baseField="0" baseItem="0"/>
  </dataField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07D186-700F-4310-86EA-ECF1D19C6F3A}" name="PivotTable2" cacheId="6" applyNumberFormats="0" applyBorderFormats="0" applyFontFormats="0" applyPatternFormats="0" applyAlignmentFormats="0" applyWidthHeightFormats="1" dataCaption="Values" tag="afb5eba9-90a2-4a36-b52f-5be90805e3a3" updatedVersion="8" minRefreshableVersion="3" useAutoFormatting="1" subtotalHiddenItems="1" itemPrintTitles="1" createdVersion="5" indent="0" outline="1" outlineData="1" multipleFieldFilters="0" chartFormat="14" rowHeaderCaption="Product">
  <location ref="P2:U13" firstHeaderRow="1" firstDataRow="2" firstDataCol="1"/>
  <pivotFields count="4">
    <pivotField axis="axisCol" allDrilled="1" subtotalTop="0" showAll="0" sortType="ascending"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0"/>
  </colFields>
  <colItems count="5">
    <i>
      <x/>
    </i>
    <i>
      <x v="1"/>
    </i>
    <i>
      <x v="2"/>
    </i>
    <i>
      <x v="3"/>
    </i>
    <i t="grand">
      <x/>
    </i>
  </colItems>
  <dataFields count="1">
    <dataField fld="1" subtotal="count" baseField="0" baseItem="0"/>
  </dataFields>
  <chartFormats count="4">
    <chartFormat chart="13" format="8" series="1">
      <pivotArea type="data" outline="0" fieldPosition="0">
        <references count="2">
          <reference field="4294967294" count="1" selected="0">
            <x v="0"/>
          </reference>
          <reference field="0" count="1" selected="0">
            <x v="0"/>
          </reference>
        </references>
      </pivotArea>
    </chartFormat>
    <chartFormat chart="13" format="9" series="1">
      <pivotArea type="data" outline="0" fieldPosition="0">
        <references count="2">
          <reference field="4294967294" count="1" selected="0">
            <x v="0"/>
          </reference>
          <reference field="0" count="1" selected="0">
            <x v="1"/>
          </reference>
        </references>
      </pivotArea>
    </chartFormat>
    <chartFormat chart="13" format="10" series="1">
      <pivotArea type="data" outline="0" fieldPosition="0">
        <references count="2">
          <reference field="4294967294" count="1" selected="0">
            <x v="0"/>
          </reference>
          <reference field="0" count="1" selected="0">
            <x v="2"/>
          </reference>
        </references>
      </pivotArea>
    </chartFormat>
    <chartFormat chart="13" format="11" series="1">
      <pivotArea type="data" outline="0" fieldPosition="0">
        <references count="2">
          <reference field="4294967294" count="1" selected="0">
            <x v="0"/>
          </reference>
          <reference field="0" count="1" selected="0">
            <x v="3"/>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4F141E-96D8-4E62-9AD4-F869E0494974}" name="PivotTable12" cacheId="5" applyNumberFormats="0" applyBorderFormats="0" applyFontFormats="0" applyPatternFormats="0" applyAlignmentFormats="0" applyWidthHeightFormats="1" dataCaption="Values" tag="7492aba1-288b-4795-a66c-b45c2c856e18" updatedVersion="8" minRefreshableVersion="3" useAutoFormatting="1" subtotalHiddenItems="1" itemPrintTitles="1" createdVersion="5" indent="0" outline="1" outlineData="1" multipleFieldFilters="0" chartFormat="28" rowHeaderCaption="Month">
  <location ref="E2:G15" firstHeaderRow="0"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2" subtotal="count" baseField="0" baseItem="0"/>
  </dataFields>
  <formats count="1">
    <format dxfId="0">
      <pivotArea field="1" type="button" dataOnly="0" labelOnly="1" outline="0" axis="axisRow" fieldPosition="0"/>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07B31-1C2F-4850-9DFA-4B11EE1864CD}" name="PivotTable10" cacheId="3" applyNumberFormats="0" applyBorderFormats="0" applyFontFormats="0" applyPatternFormats="0" applyAlignmentFormats="0" applyWidthHeightFormats="1" dataCaption="Values" tag="ec1225ed-67b3-4d1b-9cba-5d46220e9683" updatedVersion="8" minRefreshableVersion="3" useAutoFormatting="1" subtotalHiddenItems="1" itemPrintTitles="1" createdVersion="5" indent="0" outline="1" outlineData="1" multipleFieldFilters="0" rowHeaderCaption="Product">
  <location ref="A25:B35" firstHeaderRow="1" firstDataRow="1" firstDataCol="1"/>
  <pivotFields count="3">
    <pivotField axis="axisRow" allDrilled="1" subtotalTop="0" showAll="0" defaultSubtotal="0" defaultAttributeDrillState="1">
      <items count="9">
        <item x="0"/>
        <item x="2"/>
        <item x="3"/>
        <item x="4"/>
        <item x="5"/>
        <item x="6"/>
        <item x="8"/>
        <item x="1"/>
        <item x="7"/>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472A6C-73D7-4F31-AD88-2B1393400DDC}" name="PivotTable3" cacheId="7" applyNumberFormats="0" applyBorderFormats="0" applyFontFormats="0" applyPatternFormats="0" applyAlignmentFormats="0" applyWidthHeightFormats="1" dataCaption="Values" tag="bd31f639-bfa7-4b62-a9ac-bc3afaed27ea" updatedVersion="8" minRefreshableVersion="3" useAutoFormatting="1" subtotalHiddenItems="1" itemPrintTitles="1" createdVersion="5" indent="0" outline="1" outlineData="1" multipleFieldFilters="0" chartFormat="9" rowHeaderCaption="Products">
  <location ref="A10:B16"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2"/>
    </i>
    <i>
      <x v="1"/>
    </i>
    <i>
      <x v="4"/>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top="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02371-4BB0-4E63-A4AE-2992135D3BC6}" name="PivotTable11" cacheId="4" applyNumberFormats="0" applyBorderFormats="0" applyFontFormats="0" applyPatternFormats="0" applyAlignmentFormats="0" applyWidthHeightFormats="1" dataCaption="Values" tag="19ce16e3-3025-4b19-9ebe-82e2b3130977" updatedVersion="8" minRefreshableVersion="3" useAutoFormatting="1" subtotalHiddenItems="1" itemPrintTitles="1" createdVersion="5" indent="0" outline="1" outlineData="1" multipleFieldFilters="0" rowHeaderCaption="Year">
  <location ref="L25:N2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D35401-CD18-4C9B-9511-B7548D61FC1B}" name="PivotTable1" cacheId="2" applyNumberFormats="0" applyBorderFormats="0" applyFontFormats="0" applyPatternFormats="0" applyAlignmentFormats="0" applyWidthHeightFormats="1" dataCaption="Values" tag="9dba6b53-56fd-4db7-9020-32e23eae5c2c" updatedVersion="8" minRefreshableVersion="3" useAutoFormatting="1" subtotalHiddenItems="1" itemPrintTitles="1" createdVersion="5" indent="0" outline="1" outlineData="1" multipleFieldFilters="0" chartFormat="13" rowHeaderCaption="Products">
  <location ref="A2:B7" firstHeaderRow="1" firstDataRow="1" firstDataCol="1"/>
  <pivotFields count="3">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fld="1" subtotal="count" baseField="0"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6">
      <autoFilter ref="A1">
        <filterColumn colId="0">
          <top10 val="4" filterVal="4"/>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89490-9507-4979-8ACA-45532C1C28ED}" name="PivotTable9" cacheId="10" applyNumberFormats="0" applyBorderFormats="0" applyFontFormats="0" applyPatternFormats="0" applyAlignmentFormats="0" applyWidthHeightFormats="1" dataCaption="Values" tag="a6c9bef2-7d72-4282-9a6d-5d254592f151" updatedVersion="8" minRefreshableVersion="3" useAutoFormatting="1" subtotalHiddenItems="1" itemPrintTitles="1" createdVersion="5" indent="0" outline="1" outlineData="1" multipleFieldFilters="0" rowHeaderCaption="Product">
  <location ref="D25:E35" firstHeaderRow="1" firstDataRow="1" firstDataCol="1"/>
  <pivotFields count="3">
    <pivotField axis="axisRow" allDrilled="1" subtotalTop="0" showAll="0" defaultSubtotal="0" defaultAttributeDrillState="1">
      <items count="9">
        <item x="0"/>
        <item x="2"/>
        <item x="3"/>
        <item x="4"/>
        <item x="5"/>
        <item x="6"/>
        <item x="8"/>
        <item x="1"/>
        <item x="7"/>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1DC6C7-B12D-4AA6-A2FE-2E813C990FBB}" name="PivotTable7" cacheId="9" applyNumberFormats="0" applyBorderFormats="0" applyFontFormats="0" applyPatternFormats="0" applyAlignmentFormats="0" applyWidthHeightFormats="1" dataCaption="Values" tag="4a9a2a5d-d13f-4e1e-aed1-5d97308018fe" updatedVersion="8" minRefreshableVersion="3" useAutoFormatting="1" subtotalHiddenItems="1" itemPrintTitles="1" createdVersion="5" indent="0" outline="1" outlineData="1" multipleFieldFilters="0" chartFormat="15" rowHeaderCaption=" Region">
  <location ref="J16:K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488394-661F-4A7D-9B19-8EF2236A244D}" name="PivotTable6" cacheId="8" applyNumberFormats="0" applyBorderFormats="0" applyFontFormats="0" applyPatternFormats="0" applyAlignmentFormats="0" applyWidthHeightFormats="1" dataCaption="Values" tag="ac7ae63b-a5ed-41b0-8ede-8831fd2e1720" updatedVersion="8" minRefreshableVersion="3" useAutoFormatting="1" subtotalHiddenItems="1" itemPrintTitles="1" createdVersion="5" indent="0" outline="1" outlineData="1" multipleFieldFilters="0" chartFormat="13" rowHeaderCaption="Product">
  <location ref="I2:N13"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5">
    <i>
      <x/>
    </i>
    <i>
      <x v="1"/>
    </i>
    <i>
      <x v="2"/>
    </i>
    <i>
      <x v="3"/>
    </i>
    <i t="grand">
      <x/>
    </i>
  </colItems>
  <dataFields count="1">
    <dataField fld="2" subtotal="count" baseField="0" baseItem="0"/>
  </dataFields>
  <chartFormats count="8">
    <chartFormat chart="6" format="12" series="1">
      <pivotArea type="data" outline="0" fieldPosition="0">
        <references count="1">
          <reference field="1" count="1" selected="0">
            <x v="0"/>
          </reference>
        </references>
      </pivotArea>
    </chartFormat>
    <chartFormat chart="6" format="13" series="1">
      <pivotArea type="data" outline="0" fieldPosition="0">
        <references count="1">
          <reference field="1" count="1" selected="0">
            <x v="1"/>
          </reference>
        </references>
      </pivotArea>
    </chartFormat>
    <chartFormat chart="6" format="14" series="1">
      <pivotArea type="data" outline="0" fieldPosition="0">
        <references count="1">
          <reference field="1" count="1" selected="0">
            <x v="2"/>
          </reference>
        </references>
      </pivotArea>
    </chartFormat>
    <chartFormat chart="6" format="15" series="1">
      <pivotArea type="data" outline="0" fieldPosition="0">
        <references count="1">
          <reference field="1" count="1" selected="0">
            <x v="3"/>
          </reference>
        </references>
      </pivotArea>
    </chartFormat>
    <chartFormat chart="6" format="16" series="1">
      <pivotArea type="data" outline="0" fieldPosition="0">
        <references count="2">
          <reference field="4294967294" count="1" selected="0">
            <x v="0"/>
          </reference>
          <reference field="1" count="1" selected="0">
            <x v="0"/>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 chart="6" format="18" series="1">
      <pivotArea type="data" outline="0" fieldPosition="0">
        <references count="2">
          <reference field="4294967294" count="1" selected="0">
            <x v="0"/>
          </reference>
          <reference field="1" count="1" selected="0">
            <x v="2"/>
          </reference>
        </references>
      </pivotArea>
    </chartFormat>
    <chartFormat chart="6" format="19" series="1">
      <pivotArea type="data" outline="0" fieldPosition="0">
        <references count="2">
          <reference field="4294967294" count="1" selected="0">
            <x v="0"/>
          </reference>
          <reference field="1" count="1" selected="0">
            <x v="3"/>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inven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49FFA1-6BD8-4325-AF43-542AC91B61C9}" sourceName="[sales_inventory].[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6"/>
    <pivotTable tabId="1" name="PivotTable7"/>
    <pivotTable tabId="1" name="PivotTable9"/>
  </pivotTables>
  <data>
    <olap pivotCacheId="710425925">
      <levels count="2">
        <level uniqueName="[sales_inventory].[Year].[(All)]" sourceCaption="(All)" count="0"/>
        <level uniqueName="[sales_inventory].[Year].[Year]" sourceCaption="Year" count="2">
          <ranges>
            <range startItem="0">
              <i n="[sales_inventory].[Year].&amp;[2.022E3]" c="2022"/>
              <i n="[sales_inventory].[Year].&amp;[2.023E3]" c="2023"/>
            </range>
          </ranges>
        </level>
      </levels>
      <selections count="1">
        <selection n="[sales_inventory].[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C6BF3A-C195-4D18-91E4-A56598C34567}" sourceName="[product_category].[Product_Category]">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6"/>
    <pivotTable tabId="1" name="PivotTable7"/>
    <pivotTable tabId="1" name="PivotTable9"/>
  </pivotTables>
  <data>
    <olap pivotCacheId="710425925">
      <levels count="2">
        <level uniqueName="[product_category].[Product_Category].[(All)]" sourceCaption="(All)" count="0"/>
        <level uniqueName="[product_category].[Product_Category].[Product_Category]" sourceCaption="Product_Category" count="4">
          <ranges>
            <range startItem="0">
              <i n="[product_category].[Product_Category].&amp;[Bars]" c="Bars"/>
              <i n="[product_category].[Product_Category].&amp;[Cookies]" c="Cookies"/>
              <i n="[product_category].[Product_Category].&amp;[Crackers]" c="Crackers"/>
              <i n="[product_category].[Product_Category].&amp;[Snacks]" c="Snacks"/>
            </range>
          </ranges>
        </level>
      </levels>
      <selections count="1">
        <selection n="[product_category].[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5A571D-9F92-4C4A-9456-65BDDF3032BE}" sourceName="[product].[Product]">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6"/>
    <pivotTable tabId="1" name="PivotTable7"/>
    <pivotTable tabId="1" name="PivotTable9"/>
  </pivotTables>
  <data>
    <olap pivotCacheId="710425925">
      <levels count="2">
        <level uniqueName="[product].[Product].[(All)]" sourceCaption="(All)" count="0"/>
        <level uniqueName="[product].[Product].[Product]" sourceCaption="Product" count="9">
          <ranges>
            <range startItem="0">
              <i n="[product].[Product].&amp;[Arrowroot]" c="Arrowroot"/>
              <i n="[product].[Product].&amp;[Banana]" c="Banana"/>
              <i n="[product].[Product].&amp;[Bran]" c="Bran"/>
              <i n="[product].[Product].&amp;[Carrot]" c="Carrot"/>
              <i n="[product].[Product].&amp;[Chocolate Chip]" c="Chocolate Chip"/>
              <i n="[product].[Product].&amp;[Oatmeal Raisin]" c="Oatmeal Raisin"/>
              <i n="[product].[Product].&amp;[Potato Chips]" c="Potato Chips"/>
              <i n="[product].[Product].&amp;[Pretzels]" c="Pretzels"/>
              <i n="[product].[Product].&amp;[Whole Wheat]" c="Whole Wheat"/>
            </range>
          </ranges>
        </level>
      </levels>
      <selections count="1">
        <selection n="[product].[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AEB577-AD56-4A20-8006-B7A2408D166E}" sourceName="[region].[Region]">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6"/>
    <pivotTable tabId="1" name="PivotTable7"/>
    <pivotTable tabId="1" name="PivotTable9"/>
  </pivotTables>
  <data>
    <olap pivotCacheId="710425925">
      <levels count="2">
        <level uniqueName="[region].[Region].[(All)]" sourceCaption="(All)" count="0"/>
        <level uniqueName="[region].[Region].[Region]" sourceCaption="Region" count="2">
          <ranges>
            <range startItem="0">
              <i n="[region].[Region].&amp;[East]" c="East"/>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896CE6D-52E8-451C-A025-BD147F97F72B}" cache="Slicer_Year" caption="Year" level="1" rowHeight="251883"/>
  <slicer name="Product_Category" xr10:uid="{2D25E328-77AB-487C-B40B-BA623D6D1E7F}" cache="Slicer_Product_Category" caption="Product_Category" level="1" rowHeight="251883"/>
  <slicer name="Product" xr10:uid="{C2185740-6705-4FE4-AE1D-4FDF3DCE7717}" cache="Slicer_Product" caption="Product" level="1" rowHeight="251883"/>
  <slicer name="Region" xr10:uid="{C7073DA8-6EC9-47CC-B024-46E7FBF10C16}" cache="Slicer_Region" caption="Region"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686F-75A7-45D2-88E8-906295248827}">
  <dimension ref="A1:U36"/>
  <sheetViews>
    <sheetView tabSelected="1" zoomScale="66" workbookViewId="0">
      <selection activeCell="O40" sqref="O40"/>
    </sheetView>
  </sheetViews>
  <sheetFormatPr defaultRowHeight="14.5"/>
  <cols>
    <col min="1" max="1" width="11.54296875" bestFit="1" customWidth="1"/>
    <col min="2" max="3" width="12.54296875" bestFit="1" customWidth="1"/>
    <col min="4" max="4" width="13.36328125" bestFit="1" customWidth="1"/>
    <col min="5" max="6" width="12.54296875" bestFit="1" customWidth="1"/>
    <col min="7" max="7" width="12.453125" bestFit="1" customWidth="1"/>
    <col min="8" max="8" width="15.6328125" bestFit="1" customWidth="1"/>
    <col min="9" max="9" width="13.36328125" bestFit="1" customWidth="1"/>
    <col min="10" max="10" width="10.36328125" bestFit="1" customWidth="1"/>
    <col min="11" max="11" width="12.54296875" bestFit="1" customWidth="1"/>
    <col min="12" max="12" width="8.54296875" bestFit="1" customWidth="1"/>
    <col min="13" max="13" width="9.08984375" bestFit="1" customWidth="1"/>
    <col min="14" max="14" width="10.36328125" bestFit="1" customWidth="1"/>
    <col min="15" max="15" width="10.54296875" bestFit="1" customWidth="1"/>
    <col min="16" max="16" width="13.36328125" bestFit="1" customWidth="1"/>
    <col min="17" max="17" width="15.6328125" bestFit="1" customWidth="1"/>
    <col min="18" max="18" width="10.54296875" bestFit="1" customWidth="1"/>
    <col min="19" max="19" width="8.54296875" bestFit="1" customWidth="1"/>
    <col min="20" max="20" width="9.08984375" bestFit="1" customWidth="1"/>
    <col min="21" max="21" width="10.36328125" bestFit="1" customWidth="1"/>
  </cols>
  <sheetData>
    <row r="1" spans="1:21">
      <c r="A1" s="10" t="s">
        <v>32</v>
      </c>
      <c r="B1" s="10"/>
      <c r="C1" s="10"/>
      <c r="E1" s="12" t="s">
        <v>47</v>
      </c>
      <c r="F1" s="12"/>
      <c r="G1" s="12"/>
      <c r="I1" s="12" t="s">
        <v>48</v>
      </c>
      <c r="J1" s="12"/>
      <c r="K1" s="12"/>
      <c r="L1" s="12"/>
      <c r="M1" s="12"/>
      <c r="N1" s="12"/>
      <c r="P1" s="12" t="s">
        <v>49</v>
      </c>
      <c r="Q1" s="12"/>
      <c r="R1" s="12"/>
      <c r="S1" s="12"/>
      <c r="T1" s="12"/>
      <c r="U1" s="12"/>
    </row>
    <row r="2" spans="1:21">
      <c r="A2" s="1" t="s">
        <v>31</v>
      </c>
      <c r="B2" t="s">
        <v>10</v>
      </c>
      <c r="E2" s="5" t="s">
        <v>46</v>
      </c>
      <c r="F2" t="s">
        <v>10</v>
      </c>
      <c r="G2" t="s">
        <v>11</v>
      </c>
      <c r="I2" s="1" t="s">
        <v>11</v>
      </c>
      <c r="J2" s="1" t="s">
        <v>18</v>
      </c>
      <c r="P2" s="1" t="s">
        <v>10</v>
      </c>
      <c r="Q2" s="1" t="s">
        <v>18</v>
      </c>
    </row>
    <row r="3" spans="1:21">
      <c r="A3" s="2" t="s">
        <v>4</v>
      </c>
      <c r="B3" s="3">
        <v>4572.1500000000005</v>
      </c>
      <c r="E3" s="2" t="s">
        <v>23</v>
      </c>
      <c r="F3" s="3">
        <v>2941.1099999999997</v>
      </c>
      <c r="G3" s="4">
        <v>1289</v>
      </c>
      <c r="I3" s="1" t="s">
        <v>35</v>
      </c>
      <c r="J3" t="s">
        <v>14</v>
      </c>
      <c r="K3" t="s">
        <v>16</v>
      </c>
      <c r="L3" t="s">
        <v>15</v>
      </c>
      <c r="M3" t="s">
        <v>17</v>
      </c>
      <c r="N3" t="s">
        <v>9</v>
      </c>
      <c r="P3" s="1" t="s">
        <v>35</v>
      </c>
      <c r="Q3" t="s">
        <v>14</v>
      </c>
      <c r="R3" t="s">
        <v>16</v>
      </c>
      <c r="S3" t="s">
        <v>15</v>
      </c>
      <c r="T3" t="s">
        <v>17</v>
      </c>
      <c r="U3" t="s">
        <v>9</v>
      </c>
    </row>
    <row r="4" spans="1:21">
      <c r="A4" s="2" t="s">
        <v>0</v>
      </c>
      <c r="B4" s="3">
        <v>5330.1</v>
      </c>
      <c r="E4" s="2" t="s">
        <v>22</v>
      </c>
      <c r="F4" s="3">
        <v>2051.46</v>
      </c>
      <c r="G4" s="4">
        <v>955</v>
      </c>
      <c r="I4" s="2" t="s">
        <v>0</v>
      </c>
      <c r="J4" s="4">
        <v>880</v>
      </c>
      <c r="K4" s="4">
        <v>185</v>
      </c>
      <c r="L4" s="4">
        <v>929</v>
      </c>
      <c r="M4" s="4">
        <v>451</v>
      </c>
      <c r="N4" s="4">
        <v>2445</v>
      </c>
      <c r="P4" s="2" t="s">
        <v>0</v>
      </c>
      <c r="Q4" s="3">
        <v>1918.4</v>
      </c>
      <c r="R4" s="3">
        <v>403.30000000000007</v>
      </c>
      <c r="S4" s="3">
        <v>2025.2200000000003</v>
      </c>
      <c r="T4" s="3">
        <v>983.18000000000018</v>
      </c>
      <c r="U4" s="3">
        <v>5330.1</v>
      </c>
    </row>
    <row r="5" spans="1:21">
      <c r="A5" s="2" t="s">
        <v>5</v>
      </c>
      <c r="B5" s="3">
        <v>7310.1599999999989</v>
      </c>
      <c r="E5" s="2" t="s">
        <v>26</v>
      </c>
      <c r="F5" s="3">
        <v>3052.5500000000006</v>
      </c>
      <c r="G5" s="4">
        <v>1433</v>
      </c>
      <c r="I5" s="2" t="s">
        <v>1</v>
      </c>
      <c r="J5" s="4">
        <v>79</v>
      </c>
      <c r="K5" s="4"/>
      <c r="L5" s="4"/>
      <c r="M5" s="4"/>
      <c r="N5" s="4">
        <v>79</v>
      </c>
      <c r="P5" s="2" t="s">
        <v>1</v>
      </c>
      <c r="Q5" s="3">
        <v>179.32999999999998</v>
      </c>
      <c r="R5" s="3"/>
      <c r="S5" s="3"/>
      <c r="T5" s="3"/>
      <c r="U5" s="3">
        <v>179.32999999999998</v>
      </c>
    </row>
    <row r="6" spans="1:21">
      <c r="A6" s="2" t="s">
        <v>3</v>
      </c>
      <c r="B6" s="3">
        <v>7410.9900000000007</v>
      </c>
      <c r="E6" s="2" t="s">
        <v>19</v>
      </c>
      <c r="F6" s="3">
        <v>2588.7599999999998</v>
      </c>
      <c r="G6" s="4">
        <v>1270</v>
      </c>
      <c r="I6" s="2" t="s">
        <v>2</v>
      </c>
      <c r="J6" s="4">
        <v>467</v>
      </c>
      <c r="K6" s="4">
        <v>349</v>
      </c>
      <c r="L6" s="4">
        <v>563</v>
      </c>
      <c r="M6" s="4">
        <v>196</v>
      </c>
      <c r="N6" s="4">
        <v>1575</v>
      </c>
      <c r="P6" s="2" t="s">
        <v>2</v>
      </c>
      <c r="Q6" s="3">
        <v>873.29000000000008</v>
      </c>
      <c r="R6" s="3">
        <v>652.63</v>
      </c>
      <c r="S6" s="3">
        <v>1052.81</v>
      </c>
      <c r="T6" s="3">
        <v>366.52000000000004</v>
      </c>
      <c r="U6" s="3">
        <v>2945.25</v>
      </c>
    </row>
    <row r="7" spans="1:21">
      <c r="A7" s="2" t="s">
        <v>9</v>
      </c>
      <c r="B7" s="3">
        <v>24623.4</v>
      </c>
      <c r="E7" s="2" t="s">
        <v>27</v>
      </c>
      <c r="F7" s="3">
        <v>2634.41</v>
      </c>
      <c r="G7" s="4">
        <v>1227</v>
      </c>
      <c r="I7" s="2" t="s">
        <v>3</v>
      </c>
      <c r="J7" s="4">
        <v>1281</v>
      </c>
      <c r="K7" s="4">
        <v>1262</v>
      </c>
      <c r="L7" s="4">
        <v>1120</v>
      </c>
      <c r="M7" s="4">
        <v>524</v>
      </c>
      <c r="N7" s="4">
        <v>4187</v>
      </c>
      <c r="P7" s="2" t="s">
        <v>3</v>
      </c>
      <c r="Q7" s="3">
        <v>2267.3700000000003</v>
      </c>
      <c r="R7" s="3">
        <v>2233.7399999999998</v>
      </c>
      <c r="S7" s="3">
        <v>1982.4</v>
      </c>
      <c r="T7" s="3">
        <v>927.48000000000013</v>
      </c>
      <c r="U7" s="3">
        <v>7410.9900000000007</v>
      </c>
    </row>
    <row r="8" spans="1:21">
      <c r="E8" s="2" t="s">
        <v>25</v>
      </c>
      <c r="F8" s="3">
        <v>3428.2299999999991</v>
      </c>
      <c r="G8" s="4">
        <v>1498</v>
      </c>
      <c r="I8" s="2" t="s">
        <v>4</v>
      </c>
      <c r="J8" s="4">
        <v>642</v>
      </c>
      <c r="K8" s="4">
        <v>837</v>
      </c>
      <c r="L8" s="4">
        <v>470</v>
      </c>
      <c r="M8" s="4">
        <v>496</v>
      </c>
      <c r="N8" s="4">
        <v>2445</v>
      </c>
      <c r="P8" s="2" t="s">
        <v>4</v>
      </c>
      <c r="Q8" s="3">
        <v>1200.5400000000002</v>
      </c>
      <c r="R8" s="3">
        <v>1565.1900000000003</v>
      </c>
      <c r="S8" s="3">
        <v>878.9</v>
      </c>
      <c r="T8" s="3">
        <v>927.52</v>
      </c>
      <c r="U8" s="3">
        <v>4572.1500000000005</v>
      </c>
    </row>
    <row r="9" spans="1:21">
      <c r="A9" s="10" t="s">
        <v>32</v>
      </c>
      <c r="B9" s="10"/>
      <c r="C9" s="10"/>
      <c r="E9" s="2" t="s">
        <v>24</v>
      </c>
      <c r="F9" s="3">
        <v>2112.52</v>
      </c>
      <c r="G9" s="4">
        <v>988</v>
      </c>
      <c r="I9" s="2" t="s">
        <v>5</v>
      </c>
      <c r="J9" s="4">
        <v>1184</v>
      </c>
      <c r="K9" s="4">
        <v>731</v>
      </c>
      <c r="L9" s="4">
        <v>457</v>
      </c>
      <c r="M9" s="4">
        <v>202</v>
      </c>
      <c r="N9" s="4">
        <v>2574</v>
      </c>
      <c r="P9" s="2" t="s">
        <v>5</v>
      </c>
      <c r="Q9" s="3">
        <v>3362.5600000000004</v>
      </c>
      <c r="R9" s="3">
        <v>2076.0399999999995</v>
      </c>
      <c r="S9" s="3">
        <v>1297.8799999999999</v>
      </c>
      <c r="T9" s="3">
        <v>573.67999999999995</v>
      </c>
      <c r="U9" s="3">
        <v>7310.1599999999989</v>
      </c>
    </row>
    <row r="10" spans="1:21">
      <c r="A10" s="1" t="s">
        <v>31</v>
      </c>
      <c r="B10" t="s">
        <v>10</v>
      </c>
      <c r="E10" s="2" t="s">
        <v>20</v>
      </c>
      <c r="F10" s="3">
        <v>2705.94</v>
      </c>
      <c r="G10" s="4">
        <v>1251</v>
      </c>
      <c r="I10" s="2" t="s">
        <v>6</v>
      </c>
      <c r="J10" s="4">
        <v>205</v>
      </c>
      <c r="K10" s="4">
        <v>363</v>
      </c>
      <c r="L10" s="4">
        <v>326</v>
      </c>
      <c r="M10" s="4">
        <v>100</v>
      </c>
      <c r="N10" s="4">
        <v>994</v>
      </c>
      <c r="P10" s="2" t="s">
        <v>6</v>
      </c>
      <c r="Q10" s="3">
        <v>344.4</v>
      </c>
      <c r="R10" s="3">
        <v>609.83999999999992</v>
      </c>
      <c r="S10" s="3">
        <v>529.53</v>
      </c>
      <c r="T10" s="3">
        <v>168</v>
      </c>
      <c r="U10" s="3">
        <v>1651.7699999999998</v>
      </c>
    </row>
    <row r="11" spans="1:21">
      <c r="A11" s="2" t="s">
        <v>1</v>
      </c>
      <c r="B11" s="3">
        <v>179.32999999999998</v>
      </c>
      <c r="E11" s="2" t="s">
        <v>30</v>
      </c>
      <c r="F11" s="3">
        <v>2349.7199999999998</v>
      </c>
      <c r="G11" s="4">
        <v>1110</v>
      </c>
      <c r="I11" s="2" t="s">
        <v>7</v>
      </c>
      <c r="J11" s="4">
        <v>186</v>
      </c>
      <c r="K11" s="4"/>
      <c r="L11" s="4"/>
      <c r="M11" s="4"/>
      <c r="N11" s="4">
        <v>186</v>
      </c>
      <c r="P11" s="2" t="s">
        <v>7</v>
      </c>
      <c r="Q11" s="3">
        <v>585.9</v>
      </c>
      <c r="R11" s="3"/>
      <c r="S11" s="3"/>
      <c r="T11" s="3"/>
      <c r="U11" s="3">
        <v>585.9</v>
      </c>
    </row>
    <row r="12" spans="1:21">
      <c r="A12" s="2" t="s">
        <v>7</v>
      </c>
      <c r="B12" s="3">
        <v>585.9</v>
      </c>
      <c r="E12" s="2" t="s">
        <v>29</v>
      </c>
      <c r="F12" s="3">
        <v>3045.78</v>
      </c>
      <c r="G12" s="4">
        <v>1426</v>
      </c>
      <c r="I12" s="2" t="s">
        <v>8</v>
      </c>
      <c r="J12" s="4">
        <v>726</v>
      </c>
      <c r="K12" s="4">
        <v>42</v>
      </c>
      <c r="L12" s="4">
        <v>141</v>
      </c>
      <c r="M12" s="4">
        <v>48</v>
      </c>
      <c r="N12" s="4">
        <v>957</v>
      </c>
      <c r="P12" s="2" t="s">
        <v>8</v>
      </c>
      <c r="Q12" s="3">
        <v>2533.7399999999993</v>
      </c>
      <c r="R12" s="3">
        <v>146.58000000000001</v>
      </c>
      <c r="S12" s="3">
        <v>492.09000000000003</v>
      </c>
      <c r="T12" s="3">
        <v>167.52</v>
      </c>
      <c r="U12" s="3">
        <v>3339.93</v>
      </c>
    </row>
    <row r="13" spans="1:21">
      <c r="A13" s="2" t="s">
        <v>6</v>
      </c>
      <c r="B13" s="3">
        <v>1651.7699999999998</v>
      </c>
      <c r="E13" s="2" t="s">
        <v>28</v>
      </c>
      <c r="F13" s="3">
        <v>3290.8600000000006</v>
      </c>
      <c r="G13" s="4">
        <v>1578</v>
      </c>
      <c r="I13" s="2" t="s">
        <v>9</v>
      </c>
      <c r="J13" s="4">
        <v>5650</v>
      </c>
      <c r="K13" s="4">
        <v>3769</v>
      </c>
      <c r="L13" s="4">
        <v>4006</v>
      </c>
      <c r="M13" s="4">
        <v>2017</v>
      </c>
      <c r="N13" s="4">
        <v>15442</v>
      </c>
      <c r="P13" s="2" t="s">
        <v>9</v>
      </c>
      <c r="Q13" s="3">
        <v>13265.529999999997</v>
      </c>
      <c r="R13" s="3">
        <v>7687.3199999999979</v>
      </c>
      <c r="S13" s="3">
        <v>8258.83</v>
      </c>
      <c r="T13" s="3">
        <v>4113.9000000000005</v>
      </c>
      <c r="U13" s="3">
        <v>33325.58</v>
      </c>
    </row>
    <row r="14" spans="1:21">
      <c r="A14" s="2" t="s">
        <v>2</v>
      </c>
      <c r="B14" s="3">
        <v>2945.25</v>
      </c>
      <c r="E14" s="2" t="s">
        <v>21</v>
      </c>
      <c r="F14" s="3">
        <v>3124.2400000000002</v>
      </c>
      <c r="G14" s="4">
        <v>1417</v>
      </c>
    </row>
    <row r="15" spans="1:21">
      <c r="A15" s="2" t="s">
        <v>8</v>
      </c>
      <c r="B15" s="3">
        <v>3339.93</v>
      </c>
      <c r="E15" s="2" t="s">
        <v>9</v>
      </c>
      <c r="F15" s="3">
        <v>33325.58</v>
      </c>
      <c r="G15" s="4">
        <v>15442</v>
      </c>
      <c r="J15" s="12" t="s">
        <v>33</v>
      </c>
      <c r="K15" s="12"/>
    </row>
    <row r="16" spans="1:21">
      <c r="A16" s="2" t="s">
        <v>9</v>
      </c>
      <c r="B16" s="3">
        <v>8702.1799999999985</v>
      </c>
      <c r="J16" s="1" t="s">
        <v>34</v>
      </c>
      <c r="K16" t="s">
        <v>10</v>
      </c>
    </row>
    <row r="17" spans="1:18">
      <c r="J17" s="2" t="s">
        <v>12</v>
      </c>
      <c r="K17" s="3">
        <v>21524.360000000004</v>
      </c>
      <c r="P17" s="11"/>
      <c r="Q17" s="11"/>
      <c r="R17" s="11"/>
    </row>
    <row r="18" spans="1:18">
      <c r="J18" s="2" t="s">
        <v>13</v>
      </c>
      <c r="K18" s="3">
        <v>11801.22</v>
      </c>
    </row>
    <row r="19" spans="1:18">
      <c r="J19" s="2" t="s">
        <v>9</v>
      </c>
      <c r="K19" s="3">
        <v>33325.58</v>
      </c>
    </row>
    <row r="24" spans="1:18">
      <c r="A24" s="12" t="s">
        <v>38</v>
      </c>
      <c r="B24" s="12"/>
      <c r="D24" s="12" t="s">
        <v>39</v>
      </c>
      <c r="E24" s="12"/>
      <c r="G24" s="12" t="s">
        <v>44</v>
      </c>
      <c r="H24" s="12"/>
      <c r="I24" s="12"/>
      <c r="J24" s="12"/>
      <c r="L24" s="12" t="s">
        <v>37</v>
      </c>
      <c r="M24" s="12"/>
      <c r="N24" s="12"/>
    </row>
    <row r="25" spans="1:18">
      <c r="A25" s="1" t="s">
        <v>35</v>
      </c>
      <c r="B25" t="s">
        <v>11</v>
      </c>
      <c r="D25" s="1" t="s">
        <v>35</v>
      </c>
      <c r="E25" t="s">
        <v>10</v>
      </c>
      <c r="G25" s="1" t="s">
        <v>10</v>
      </c>
      <c r="H25" s="1" t="s">
        <v>18</v>
      </c>
      <c r="L25" s="1" t="s">
        <v>36</v>
      </c>
      <c r="M25" t="s">
        <v>10</v>
      </c>
      <c r="N25" t="s">
        <v>11</v>
      </c>
    </row>
    <row r="26" spans="1:18">
      <c r="A26" s="2" t="s">
        <v>0</v>
      </c>
      <c r="B26" s="4">
        <v>2445</v>
      </c>
      <c r="D26" s="2" t="s">
        <v>0</v>
      </c>
      <c r="E26" s="3">
        <v>5330.1</v>
      </c>
      <c r="G26" s="1" t="s">
        <v>35</v>
      </c>
      <c r="H26">
        <v>2022</v>
      </c>
      <c r="I26">
        <v>2023</v>
      </c>
      <c r="J26" t="s">
        <v>9</v>
      </c>
      <c r="L26" s="2">
        <v>2022</v>
      </c>
      <c r="M26" s="3">
        <v>17988.660000000003</v>
      </c>
      <c r="N26" s="4">
        <v>8325</v>
      </c>
    </row>
    <row r="27" spans="1:18">
      <c r="A27" s="2" t="s">
        <v>2</v>
      </c>
      <c r="B27" s="4">
        <v>1575</v>
      </c>
      <c r="D27" s="2" t="s">
        <v>2</v>
      </c>
      <c r="E27" s="3">
        <v>2945.25</v>
      </c>
      <c r="G27" s="2" t="s">
        <v>0</v>
      </c>
      <c r="H27" s="3">
        <v>2659.6000000000004</v>
      </c>
      <c r="I27" s="3">
        <v>2670.5000000000005</v>
      </c>
      <c r="J27" s="3">
        <v>5330.1</v>
      </c>
      <c r="L27" s="2">
        <v>2023</v>
      </c>
      <c r="M27" s="3">
        <v>15336.920000000002</v>
      </c>
      <c r="N27" s="4">
        <v>7117</v>
      </c>
    </row>
    <row r="28" spans="1:18">
      <c r="A28" s="2" t="s">
        <v>3</v>
      </c>
      <c r="B28" s="4">
        <v>4187</v>
      </c>
      <c r="D28" s="2" t="s">
        <v>3</v>
      </c>
      <c r="E28" s="3">
        <v>7410.9900000000007</v>
      </c>
      <c r="G28" s="2" t="s">
        <v>1</v>
      </c>
      <c r="H28" s="3">
        <v>68.099999999999994</v>
      </c>
      <c r="I28" s="3">
        <v>111.22999999999999</v>
      </c>
      <c r="J28" s="3">
        <v>179.32999999999998</v>
      </c>
      <c r="L28" s="2" t="s">
        <v>9</v>
      </c>
      <c r="M28" s="3">
        <v>33325.58</v>
      </c>
      <c r="N28" s="4">
        <v>15442</v>
      </c>
    </row>
    <row r="29" spans="1:18">
      <c r="A29" s="2" t="s">
        <v>4</v>
      </c>
      <c r="B29" s="4">
        <v>2445</v>
      </c>
      <c r="D29" s="2" t="s">
        <v>4</v>
      </c>
      <c r="E29" s="3">
        <v>4572.1500000000005</v>
      </c>
      <c r="G29" s="2" t="s">
        <v>2</v>
      </c>
      <c r="H29" s="3">
        <v>1333.3100000000002</v>
      </c>
      <c r="I29" s="3">
        <v>1611.9399999999998</v>
      </c>
      <c r="J29" s="3">
        <v>2945.25</v>
      </c>
    </row>
    <row r="30" spans="1:18">
      <c r="A30" s="2" t="s">
        <v>5</v>
      </c>
      <c r="B30" s="4">
        <v>2574</v>
      </c>
      <c r="D30" s="2" t="s">
        <v>5</v>
      </c>
      <c r="E30" s="3">
        <v>7310.1599999999989</v>
      </c>
      <c r="G30" s="2" t="s">
        <v>3</v>
      </c>
      <c r="H30" s="3">
        <v>4347.1200000000008</v>
      </c>
      <c r="I30" s="3">
        <v>3063.8700000000003</v>
      </c>
      <c r="J30" s="3">
        <v>7410.9900000000007</v>
      </c>
    </row>
    <row r="31" spans="1:18">
      <c r="A31" s="2" t="s">
        <v>6</v>
      </c>
      <c r="B31" s="4">
        <v>994</v>
      </c>
      <c r="D31" s="2" t="s">
        <v>6</v>
      </c>
      <c r="E31" s="3">
        <v>1651.7699999999998</v>
      </c>
      <c r="G31" s="2" t="s">
        <v>4</v>
      </c>
      <c r="H31" s="3">
        <v>2098.1400000000003</v>
      </c>
      <c r="I31" s="3">
        <v>2474.0100000000002</v>
      </c>
      <c r="J31" s="3">
        <v>4572.1500000000005</v>
      </c>
    </row>
    <row r="32" spans="1:18">
      <c r="A32" s="2" t="s">
        <v>8</v>
      </c>
      <c r="B32" s="4">
        <v>957</v>
      </c>
      <c r="D32" s="2" t="s">
        <v>8</v>
      </c>
      <c r="E32" s="3">
        <v>3339.93</v>
      </c>
      <c r="G32" s="2" t="s">
        <v>5</v>
      </c>
      <c r="H32" s="3">
        <v>3638.0400000000004</v>
      </c>
      <c r="I32" s="3">
        <v>3672.1200000000003</v>
      </c>
      <c r="J32" s="3">
        <v>7310.1599999999989</v>
      </c>
    </row>
    <row r="33" spans="1:10">
      <c r="A33" s="2" t="s">
        <v>1</v>
      </c>
      <c r="B33" s="4">
        <v>79</v>
      </c>
      <c r="D33" s="2" t="s">
        <v>1</v>
      </c>
      <c r="E33" s="3">
        <v>179.32999999999998</v>
      </c>
      <c r="G33" s="2" t="s">
        <v>6</v>
      </c>
      <c r="H33" s="3">
        <v>1256.97</v>
      </c>
      <c r="I33" s="3">
        <v>394.8</v>
      </c>
      <c r="J33" s="3">
        <v>1651.7699999999998</v>
      </c>
    </row>
    <row r="34" spans="1:10">
      <c r="A34" s="2" t="s">
        <v>7</v>
      </c>
      <c r="B34" s="4">
        <v>186</v>
      </c>
      <c r="D34" s="2" t="s">
        <v>7</v>
      </c>
      <c r="E34" s="3">
        <v>585.9</v>
      </c>
      <c r="G34" s="2" t="s">
        <v>7</v>
      </c>
      <c r="H34" s="3">
        <v>85.05</v>
      </c>
      <c r="I34" s="3">
        <v>500.84999999999997</v>
      </c>
      <c r="J34" s="3">
        <v>585.9</v>
      </c>
    </row>
    <row r="35" spans="1:10">
      <c r="A35" s="2" t="s">
        <v>9</v>
      </c>
      <c r="B35" s="4">
        <v>15442</v>
      </c>
      <c r="D35" s="2" t="s">
        <v>9</v>
      </c>
      <c r="E35" s="3">
        <v>33325.58</v>
      </c>
      <c r="G35" s="2" t="s">
        <v>8</v>
      </c>
      <c r="H35" s="3">
        <v>2502.33</v>
      </c>
      <c r="I35" s="3">
        <v>837.60000000000014</v>
      </c>
      <c r="J35" s="3">
        <v>3339.93</v>
      </c>
    </row>
    <row r="36" spans="1:10">
      <c r="G36" s="2" t="s">
        <v>9</v>
      </c>
      <c r="H36" s="3">
        <v>17988.660000000003</v>
      </c>
      <c r="I36" s="3">
        <v>15336.920000000002</v>
      </c>
      <c r="J36" s="3">
        <v>33325.58</v>
      </c>
    </row>
  </sheetData>
  <mergeCells count="8">
    <mergeCell ref="I1:N1"/>
    <mergeCell ref="P1:U1"/>
    <mergeCell ref="A24:B24"/>
    <mergeCell ref="D24:E24"/>
    <mergeCell ref="E1:G1"/>
    <mergeCell ref="G24:J24"/>
    <mergeCell ref="J15:K15"/>
    <mergeCell ref="L24: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9B77-00CC-4A10-BC09-A89E98027203}">
  <dimension ref="B1:C6"/>
  <sheetViews>
    <sheetView workbookViewId="0">
      <selection activeCell="C7" sqref="C7"/>
    </sheetView>
  </sheetViews>
  <sheetFormatPr defaultRowHeight="14.5"/>
  <cols>
    <col min="2" max="2" width="16" bestFit="1" customWidth="1"/>
    <col min="3" max="3" width="14.08984375" customWidth="1"/>
  </cols>
  <sheetData>
    <row r="1" spans="2:3">
      <c r="B1" s="13" t="s">
        <v>40</v>
      </c>
      <c r="C1" s="13"/>
    </row>
    <row r="2" spans="2:3">
      <c r="B2" s="7" t="s">
        <v>11</v>
      </c>
      <c r="C2" s="8" vm="2">
        <f>CUBEVALUE("ThisWorkbookDataModel","[Measures].[Total Quantity]",Slicer_Product,Slicer_Product_Category,Slicer_Region,Slicer_Year)</f>
        <v>15442</v>
      </c>
    </row>
    <row r="3" spans="2:3">
      <c r="B3" s="7" t="s">
        <v>10</v>
      </c>
      <c r="C3" s="9" vm="4">
        <f>CUBEVALUE("ThisWorkbookDataModel","[Measures].[Total Revenue]]",Slicer_Product,Slicer_Product_Category,Slicer_Region,Slicer_Year)</f>
        <v>33325.58</v>
      </c>
    </row>
    <row r="4" spans="2:3">
      <c r="B4" s="7" t="s">
        <v>41</v>
      </c>
      <c r="C4" s="9" vm="3">
        <f>CUBEVALUE("ThisWorkbookDataModel","[Measures].[Average Revenue]]",Slicer_Product,Slicer_Product_Category,Slicer_Region,Slicer_Year)</f>
        <v>136.58024590163936</v>
      </c>
    </row>
    <row r="5" spans="2:3">
      <c r="B5" s="7" t="s">
        <v>42</v>
      </c>
      <c r="C5" s="9" vm="1">
        <f>CUBEVALUE("ThisWorkbookDataModel","[Measures].[Minimum Revenue]]",Slicer_Product,Slicer_Product_Category,Slicer_Region,Slicer_Year)</f>
        <v>33.6</v>
      </c>
    </row>
    <row r="6" spans="2:3">
      <c r="B6" s="7" t="s">
        <v>43</v>
      </c>
      <c r="C6" s="9" vm="5">
        <f>CUBEVALUE("ThisWorkbookDataModel","[Measures].[Maximum Revenue]]",Slicer_Product,Slicer_Product_Category,Slicer_Region,Slicer_Year)</f>
        <v>817.92</v>
      </c>
    </row>
  </sheetData>
  <mergeCells count="1">
    <mergeCell ref="B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AFBB-078D-48B1-B8E1-71299F71120E}">
  <dimension ref="B1:T1"/>
  <sheetViews>
    <sheetView workbookViewId="0">
      <selection activeCell="U24" sqref="U24"/>
    </sheetView>
  </sheetViews>
  <sheetFormatPr defaultRowHeight="14.5"/>
  <cols>
    <col min="1" max="1" width="1.7265625" style="6" customWidth="1"/>
    <col min="2" max="16384" width="8.7265625" style="6"/>
  </cols>
  <sheetData>
    <row r="1" spans="2:20" ht="30">
      <c r="B1" s="14" t="s">
        <v>45</v>
      </c>
      <c r="C1" s="15"/>
      <c r="D1" s="15"/>
      <c r="E1" s="15"/>
      <c r="F1" s="15"/>
      <c r="G1" s="15"/>
      <c r="H1" s="15"/>
      <c r="I1" s="15"/>
      <c r="J1" s="15"/>
      <c r="K1" s="15"/>
      <c r="L1" s="15"/>
      <c r="M1" s="15"/>
      <c r="N1" s="15"/>
      <c r="O1" s="15"/>
      <c r="P1" s="15"/>
      <c r="Q1" s="15"/>
      <c r="R1" s="15"/>
      <c r="S1" s="15"/>
      <c r="T1" s="15"/>
    </row>
  </sheetData>
  <mergeCells count="1">
    <mergeCell ref="B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52EF30F6-2CFF-442E-9013-D9515C2B7F35}">
  <ds:schemaRefs/>
</ds:datastoreItem>
</file>

<file path=customXml/itemProps2.xml><?xml version="1.0" encoding="utf-8"?>
<ds:datastoreItem xmlns:ds="http://schemas.openxmlformats.org/officeDocument/2006/customXml" ds:itemID="{A201E379-2C6E-4170-A425-C74E2D04FF7F}">
  <ds:schemaRefs/>
</ds:datastoreItem>
</file>

<file path=customXml/itemProps3.xml><?xml version="1.0" encoding="utf-8"?>
<ds:datastoreItem xmlns:ds="http://schemas.openxmlformats.org/officeDocument/2006/customXml" ds:itemID="{48F9C80F-4D3F-422A-B460-6F6610A45756}">
  <ds:schemaRefs/>
</ds:datastoreItem>
</file>

<file path=customXml/itemProps4.xml><?xml version="1.0" encoding="utf-8"?>
<ds:datastoreItem xmlns:ds="http://schemas.openxmlformats.org/officeDocument/2006/customXml" ds:itemID="{CF03CF7C-246E-4BB2-B61A-E1AC2C0DE8AC}">
  <ds:schemaRefs/>
</ds:datastoreItem>
</file>

<file path=customXml/itemProps5.xml><?xml version="1.0" encoding="utf-8"?>
<ds:datastoreItem xmlns:ds="http://schemas.openxmlformats.org/officeDocument/2006/customXml" ds:itemID="{39BED262-1E02-4032-A0D5-2E35EF3F0CE5}">
  <ds:schemaRefs/>
</ds:datastoreItem>
</file>

<file path=customXml/itemProps6.xml><?xml version="1.0" encoding="utf-8"?>
<ds:datastoreItem xmlns:ds="http://schemas.openxmlformats.org/officeDocument/2006/customXml" ds:itemID="{4AB26AF6-5EE6-4BB1-BC37-F8E62EB73B3B}">
  <ds:schemaRefs/>
</ds:datastoreItem>
</file>

<file path=customXml/itemProps7.xml><?xml version="1.0" encoding="utf-8"?>
<ds:datastoreItem xmlns:ds="http://schemas.openxmlformats.org/officeDocument/2006/customXml" ds:itemID="{EA65DAF2-E8DC-499C-8082-B3ED186DEDA0}">
  <ds:schemaRefs/>
</ds:datastoreItem>
</file>

<file path=customXml/itemProps8.xml><?xml version="1.0" encoding="utf-8"?>
<ds:datastoreItem xmlns:ds="http://schemas.openxmlformats.org/officeDocument/2006/customXml" ds:itemID="{0A98B07C-59C4-4302-9D40-6D9A1EA14611}">
  <ds:schemaRefs/>
</ds:datastoreItem>
</file>

<file path=customXml/itemProps9.xml><?xml version="1.0" encoding="utf-8"?>
<ds:datastoreItem xmlns:ds="http://schemas.openxmlformats.org/officeDocument/2006/customXml" ds:itemID="{3714D01B-5CCE-4C80-B847-9D34BCADD93B}">
  <ds:schemaRefs/>
</ds:datastoreItem>
</file>

<file path=customXml/itemProps10.xml><?xml version="1.0" encoding="utf-8"?>
<ds:datastoreItem xmlns:ds="http://schemas.openxmlformats.org/officeDocument/2006/customXml" ds:itemID="{E3175A82-8F86-45DD-8ADA-1727E37E9FBC}">
  <ds:schemaRefs/>
</ds:datastoreItem>
</file>

<file path=customXml/itemProps11.xml><?xml version="1.0" encoding="utf-8"?>
<ds:datastoreItem xmlns:ds="http://schemas.openxmlformats.org/officeDocument/2006/customXml" ds:itemID="{1B851A03-815A-45AE-9FC6-FCD16EE1DE87}">
  <ds:schemaRefs/>
</ds:datastoreItem>
</file>

<file path=customXml/itemProps12.xml><?xml version="1.0" encoding="utf-8"?>
<ds:datastoreItem xmlns:ds="http://schemas.openxmlformats.org/officeDocument/2006/customXml" ds:itemID="{6D145BA5-3C24-4F1F-AEBE-389FE284C26A}">
  <ds:schemaRefs/>
</ds:datastoreItem>
</file>

<file path=customXml/itemProps13.xml><?xml version="1.0" encoding="utf-8"?>
<ds:datastoreItem xmlns:ds="http://schemas.openxmlformats.org/officeDocument/2006/customXml" ds:itemID="{BD93E523-57C3-4427-ABD1-7A4B07EA15AC}">
  <ds:schemaRefs/>
</ds:datastoreItem>
</file>

<file path=customXml/itemProps14.xml><?xml version="1.0" encoding="utf-8"?>
<ds:datastoreItem xmlns:ds="http://schemas.openxmlformats.org/officeDocument/2006/customXml" ds:itemID="{3096BDF5-2244-4B04-9BFF-F213A757B07D}">
  <ds:schemaRefs/>
</ds:datastoreItem>
</file>

<file path=customXml/itemProps15.xml><?xml version="1.0" encoding="utf-8"?>
<ds:datastoreItem xmlns:ds="http://schemas.openxmlformats.org/officeDocument/2006/customXml" ds:itemID="{42E6D0D3-690A-4633-B677-684360C9E574}">
  <ds:schemaRefs/>
</ds:datastoreItem>
</file>

<file path=customXml/itemProps16.xml><?xml version="1.0" encoding="utf-8"?>
<ds:datastoreItem xmlns:ds="http://schemas.openxmlformats.org/officeDocument/2006/customXml" ds:itemID="{8F1AB32C-1453-49BA-A3D4-0D7219527A20}">
  <ds:schemaRefs/>
</ds:datastoreItem>
</file>

<file path=customXml/itemProps17.xml><?xml version="1.0" encoding="utf-8"?>
<ds:datastoreItem xmlns:ds="http://schemas.openxmlformats.org/officeDocument/2006/customXml" ds:itemID="{D4901D3E-1274-4DD9-BDBC-B00FA18CC9AF}">
  <ds:schemaRefs/>
</ds:datastoreItem>
</file>

<file path=customXml/itemProps18.xml><?xml version="1.0" encoding="utf-8"?>
<ds:datastoreItem xmlns:ds="http://schemas.openxmlformats.org/officeDocument/2006/customXml" ds:itemID="{9E936DDB-E0E8-4C07-9B35-D2B2C1AF86AF}">
  <ds:schemaRefs/>
</ds:datastoreItem>
</file>

<file path=customXml/itemProps19.xml><?xml version="1.0" encoding="utf-8"?>
<ds:datastoreItem xmlns:ds="http://schemas.openxmlformats.org/officeDocument/2006/customXml" ds:itemID="{D723B4A5-88F8-4FA4-B7A6-F6AE820416BF}">
  <ds:schemaRefs/>
</ds:datastoreItem>
</file>

<file path=customXml/itemProps20.xml><?xml version="1.0" encoding="utf-8"?>
<ds:datastoreItem xmlns:ds="http://schemas.openxmlformats.org/officeDocument/2006/customXml" ds:itemID="{F61D808B-E30D-4169-8E77-D12C8CC628D2}">
  <ds:schemaRefs/>
</ds:datastoreItem>
</file>

<file path=customXml/itemProps21.xml><?xml version="1.0" encoding="utf-8"?>
<ds:datastoreItem xmlns:ds="http://schemas.openxmlformats.org/officeDocument/2006/customXml" ds:itemID="{47C6251D-EA0A-4F5F-9D69-98CA54629C16}">
  <ds:schemaRefs/>
</ds:datastoreItem>
</file>

<file path=customXml/itemProps22.xml><?xml version="1.0" encoding="utf-8"?>
<ds:datastoreItem xmlns:ds="http://schemas.openxmlformats.org/officeDocument/2006/customXml" ds:itemID="{570E6954-6B86-4469-81D4-8C7FFA1DB4C1}">
  <ds:schemaRefs/>
</ds:datastoreItem>
</file>

<file path=customXml/itemProps23.xml><?xml version="1.0" encoding="utf-8"?>
<ds:datastoreItem xmlns:ds="http://schemas.openxmlformats.org/officeDocument/2006/customXml" ds:itemID="{C58164B2-FC24-4B3A-AB65-1641D8BFBC59}">
  <ds:schemaRefs/>
</ds:datastoreItem>
</file>

<file path=customXml/itemProps24.xml><?xml version="1.0" encoding="utf-8"?>
<ds:datastoreItem xmlns:ds="http://schemas.openxmlformats.org/officeDocument/2006/customXml" ds:itemID="{AD90DF53-6B2E-4168-BB81-43CCB583C812}">
  <ds:schemaRefs/>
</ds:datastoreItem>
</file>

<file path=customXml/itemProps25.xml><?xml version="1.0" encoding="utf-8"?>
<ds:datastoreItem xmlns:ds="http://schemas.openxmlformats.org/officeDocument/2006/customXml" ds:itemID="{F6D63175-A191-4C36-8D1A-AAC7696B88B5}">
  <ds:schemaRefs/>
</ds:datastoreItem>
</file>

<file path=customXml/itemProps26.xml><?xml version="1.0" encoding="utf-8"?>
<ds:datastoreItem xmlns:ds="http://schemas.openxmlformats.org/officeDocument/2006/customXml" ds:itemID="{13A7B70E-0486-4D8C-8F49-544A1DEA02D4}">
  <ds:schemaRefs/>
</ds:datastoreItem>
</file>

<file path=customXml/itemProps27.xml><?xml version="1.0" encoding="utf-8"?>
<ds:datastoreItem xmlns:ds="http://schemas.openxmlformats.org/officeDocument/2006/customXml" ds:itemID="{A07F401E-BAA5-4556-B4C1-5C53F90CA578}">
  <ds:schemaRefs/>
</ds:datastoreItem>
</file>

<file path=customXml/itemProps28.xml><?xml version="1.0" encoding="utf-8"?>
<ds:datastoreItem xmlns:ds="http://schemas.openxmlformats.org/officeDocument/2006/customXml" ds:itemID="{6B79AED9-7979-4BBB-A7D1-1F563E4DF018}">
  <ds:schemaRefs/>
</ds:datastoreItem>
</file>

<file path=customXml/itemProps29.xml><?xml version="1.0" encoding="utf-8"?>
<ds:datastoreItem xmlns:ds="http://schemas.openxmlformats.org/officeDocument/2006/customXml" ds:itemID="{8F3F217D-640D-4612-B2C2-54CFBF10A3CB}">
  <ds:schemaRefs/>
</ds:datastoreItem>
</file>

<file path=customXml/itemProps30.xml><?xml version="1.0" encoding="utf-8"?>
<ds:datastoreItem xmlns:ds="http://schemas.openxmlformats.org/officeDocument/2006/customXml" ds:itemID="{E9167238-F2D7-4FF9-BA0E-4FD36310FB7D}">
  <ds:schemaRefs/>
</ds:datastoreItem>
</file>

<file path=customXml/itemProps31.xml><?xml version="1.0" encoding="utf-8"?>
<ds:datastoreItem xmlns:ds="http://schemas.openxmlformats.org/officeDocument/2006/customXml" ds:itemID="{8C70C225-62F5-461E-8B67-F515075F3F86}">
  <ds:schemaRefs/>
</ds:datastoreItem>
</file>

<file path=customXml/itemProps32.xml><?xml version="1.0" encoding="utf-8"?>
<ds:datastoreItem xmlns:ds="http://schemas.openxmlformats.org/officeDocument/2006/customXml" ds:itemID="{4210EA4B-4516-4FBF-AD84-6F98648C0DCD}">
  <ds:schemaRefs/>
</ds:datastoreItem>
</file>

<file path=customXml/itemProps33.xml><?xml version="1.0" encoding="utf-8"?>
<ds:datastoreItem xmlns:ds="http://schemas.openxmlformats.org/officeDocument/2006/customXml" ds:itemID="{1A7BE029-F957-4B8D-AB91-4C391737C533}">
  <ds:schemaRefs/>
</ds:datastoreItem>
</file>

<file path=customXml/itemProps34.xml><?xml version="1.0" encoding="utf-8"?>
<ds:datastoreItem xmlns:ds="http://schemas.openxmlformats.org/officeDocument/2006/customXml" ds:itemID="{EABCEE5D-8327-473A-9FEC-9396795733B4}">
  <ds:schemaRefs/>
</ds:datastoreItem>
</file>

<file path=customXml/itemProps35.xml><?xml version="1.0" encoding="utf-8"?>
<ds:datastoreItem xmlns:ds="http://schemas.openxmlformats.org/officeDocument/2006/customXml" ds:itemID="{2325A046-E841-4F2C-98D9-BF41B91A4C98}">
  <ds:schemaRefs/>
</ds:datastoreItem>
</file>

<file path=customXml/itemProps36.xml><?xml version="1.0" encoding="utf-8"?>
<ds:datastoreItem xmlns:ds="http://schemas.openxmlformats.org/officeDocument/2006/customXml" ds:itemID="{3DB9E3FD-C817-4462-BF0E-55B5D64DDB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BALOGUN</dc:creator>
  <cp:lastModifiedBy>SEUN BALOGUN</cp:lastModifiedBy>
  <dcterms:created xsi:type="dcterms:W3CDTF">2025-03-21T13:06:03Z</dcterms:created>
  <dcterms:modified xsi:type="dcterms:W3CDTF">2026-08-02T10:34:30Z</dcterms:modified>
</cp:coreProperties>
</file>